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3"/>
  </bookViews>
  <sheets>
    <sheet name="Анализ КБ" sheetId="4" r:id="rId7"/>
    <sheet name="Себестоимость" sheetId="1" r:id="rId1"/>
    <sheet name="Прайс" sheetId="2" r:id="rId2"/>
    <sheet name="Чистая прибыль" sheetId="3" r:id="rId3"/>
    <sheet name="ЧП за год" sheetId="5" r:id="rId8"/>
  </sheets>
  <calcPr calcId="171027"/>
</workbook>
</file>

<file path=xl/sharedStrings.xml><?xml version="1.0" encoding="utf-8"?>
<sst xmlns="http://schemas.openxmlformats.org/spreadsheetml/2006/main">
  <si>
    <t>Материал</t>
  </si>
  <si>
    <t>Упаковка</t>
  </si>
  <si>
    <t>маникюр без покрытия</t>
  </si>
  <si>
    <t>маникюр до 2</t>
  </si>
  <si>
    <t>длинные</t>
  </si>
  <si>
    <t>наращивание</t>
  </si>
  <si>
    <t>педикюр без покрытия</t>
  </si>
  <si>
    <t>педикюр с покрытием</t>
  </si>
  <si>
    <t>педикюр с покрытием пленки</t>
  </si>
  <si>
    <t>шт/гр</t>
  </si>
  <si>
    <t>руб</t>
  </si>
  <si>
    <t xml:space="preserve">1. Перчатки </t>
  </si>
  <si>
    <t>2. Антисептик</t>
  </si>
  <si>
    <t>3. Щетка</t>
  </si>
  <si>
    <t>4. Пилка (файл)</t>
  </si>
  <si>
    <t>5. Носки</t>
  </si>
  <si>
    <t>6. Ап. палочки</t>
  </si>
  <si>
    <t xml:space="preserve">Предфильтр на вытяжку </t>
  </si>
  <si>
    <t xml:space="preserve">7. Простынь </t>
  </si>
  <si>
    <t xml:space="preserve">8. Полотенце </t>
  </si>
  <si>
    <t>9. Крафт-пакет 60х100</t>
  </si>
  <si>
    <t>10. Крафт-пакет 100х200</t>
  </si>
  <si>
    <t>11. Спирт</t>
  </si>
  <si>
    <t>12. Салфетки б/в</t>
  </si>
  <si>
    <t>13. Полигель</t>
  </si>
  <si>
    <t>14. База (подложка)</t>
  </si>
  <si>
    <t>15. Гель</t>
  </si>
  <si>
    <t>16. База</t>
  </si>
  <si>
    <t>17. Гель-лак</t>
  </si>
  <si>
    <t>18. Топ</t>
  </si>
  <si>
    <t xml:space="preserve">19. Пленки </t>
  </si>
  <si>
    <t>20. Крем для рук</t>
  </si>
  <si>
    <t>21. Крем для ног</t>
  </si>
  <si>
    <t>33. Полировщик</t>
  </si>
  <si>
    <t>34. Масло д/стоп</t>
  </si>
  <si>
    <t xml:space="preserve">35. Флюид для ногтей </t>
  </si>
  <si>
    <t>25. Файлы на диск</t>
  </si>
  <si>
    <t>26. Скраб д/ног</t>
  </si>
  <si>
    <t>27. Фреза ТВС (+тонкая)</t>
  </si>
  <si>
    <t>28. Фреза пламя,пушер</t>
  </si>
  <si>
    <t>29. Фреза шар/капля</t>
  </si>
  <si>
    <t>30. Формы бумажные</t>
  </si>
  <si>
    <t>31. Мыло для стопы</t>
  </si>
  <si>
    <t xml:space="preserve">ТО аппарата </t>
  </si>
  <si>
    <t xml:space="preserve">Фильтр малый </t>
  </si>
  <si>
    <t xml:space="preserve">Фильтр большой </t>
  </si>
  <si>
    <t>Салфетки д/уборки</t>
  </si>
  <si>
    <t>Мультидез (для раб.пов.)</t>
  </si>
  <si>
    <t>Итого:</t>
  </si>
  <si>
    <t>Закупка</t>
  </si>
  <si>
    <t>Услуга 1</t>
  </si>
  <si>
    <t>Услуга 2</t>
  </si>
  <si>
    <t>Услуга 3</t>
  </si>
  <si>
    <t>Услуга 4</t>
  </si>
  <si>
    <t>Услуга 5</t>
  </si>
  <si>
    <t>Услуга 6</t>
  </si>
  <si>
    <t>Услуга 7</t>
  </si>
  <si>
    <t>Услуга 8</t>
  </si>
  <si>
    <t>Услуга 9</t>
  </si>
  <si>
    <t>Услуга 10</t>
  </si>
  <si>
    <t xml:space="preserve">1. Материал </t>
  </si>
  <si>
    <t xml:space="preserve">2. Материал </t>
  </si>
  <si>
    <t xml:space="preserve">3. Материал </t>
  </si>
  <si>
    <t xml:space="preserve">Материал </t>
  </si>
  <si>
    <t>Прайс</t>
  </si>
  <si>
    <t>Процедура</t>
  </si>
  <si>
    <t>Время</t>
  </si>
  <si>
    <t>Ст-ть часа</t>
  </si>
  <si>
    <t>Ст-ть работы</t>
  </si>
  <si>
    <t>Материлы</t>
  </si>
  <si>
    <t>Себес</t>
  </si>
  <si>
    <t>Наценка</t>
  </si>
  <si>
    <t>Итого</t>
  </si>
  <si>
    <t>ИТОГО</t>
  </si>
  <si>
    <t>ман без покр</t>
  </si>
  <si>
    <t>ман до 2</t>
  </si>
  <si>
    <t>пед без покр</t>
  </si>
  <si>
    <t>пед с покр</t>
  </si>
  <si>
    <t>пед пленки</t>
  </si>
  <si>
    <t>Себестоимость</t>
  </si>
  <si>
    <t>ПРАЙС</t>
  </si>
  <si>
    <t>РАСЧЕТ ПРАЙСА</t>
  </si>
  <si>
    <t>МАНИКЮР</t>
  </si>
  <si>
    <t>Время (ч)</t>
  </si>
  <si>
    <t>Расходы</t>
  </si>
  <si>
    <t>Расчет чистой прибыли за месяц</t>
  </si>
  <si>
    <t>Услуги</t>
  </si>
  <si>
    <t>кол-во</t>
  </si>
  <si>
    <t>себес</t>
  </si>
  <si>
    <t>Аренда</t>
  </si>
  <si>
    <t>Коммуналка</t>
  </si>
  <si>
    <t>Налоги</t>
  </si>
  <si>
    <t>Интернет и пр.</t>
  </si>
  <si>
    <t>ФОТ клининг</t>
  </si>
  <si>
    <t>Мебель</t>
  </si>
  <si>
    <t>Продажа</t>
  </si>
  <si>
    <t>Переменные</t>
  </si>
  <si>
    <t>переменные</t>
  </si>
  <si>
    <t>Итого расходы</t>
  </si>
  <si>
    <t>Доходы</t>
  </si>
  <si>
    <t>Продажи</t>
  </si>
  <si>
    <t>Прочее</t>
  </si>
  <si>
    <t>Чистая прибыль</t>
  </si>
  <si>
    <t>Доходы - расходы</t>
  </si>
  <si>
    <t>Маржинальность</t>
  </si>
  <si>
    <t>(Чист.прибыль/выручка)*100%</t>
  </si>
  <si>
    <t>Средний чек</t>
  </si>
  <si>
    <t>Выручка/кол-во визитов</t>
  </si>
  <si>
    <t>Расчет чистой прибыли январь</t>
  </si>
  <si>
    <t>Оказанные услуги</t>
  </si>
  <si>
    <t>Залупа</t>
  </si>
  <si>
    <t>Постоянные</t>
  </si>
  <si>
    <t>Маржинальность %</t>
  </si>
  <si>
    <t>Средний час</t>
  </si>
  <si>
    <t>часы</t>
  </si>
  <si>
    <t>СУММ</t>
  </si>
  <si>
    <t>СУММ(</t>
  </si>
  <si>
    <t>:</t>
  </si>
  <si>
    <t>Чистая прибыль/часы работы</t>
  </si>
  <si>
    <t>Клиент</t>
  </si>
  <si>
    <t>Яварь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</si>
  <si>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</si>
  <si>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</si>
  <si>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</si>
  <si>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</si>
  <si>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</si>
  <si>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</si>
  <si>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</si>
  <si>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</si>
  <si>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</si>
  <si>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</si>
  <si>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</si>
  <si>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</si>
  <si>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3 мес</t>
  </si>
  <si>
    <t>год</t>
  </si>
  <si>
    <t>Расчет чистой прибыли февраль</t>
  </si>
  <si>
    <t>Расчет чистой прибыли март</t>
  </si>
  <si>
    <t>Расчет чистой прибыли апрель</t>
  </si>
  <si>
    <t>Расчет чистой прибыли май</t>
  </si>
  <si>
    <t>Расчет чистой прибыли июнь</t>
  </si>
  <si>
    <t>Расчет чистой прибыли июль</t>
  </si>
  <si>
    <t>Расчет чистой прибыли август</t>
  </si>
  <si>
    <t>Расчет чистой прибыли сентябрь</t>
  </si>
  <si>
    <t>Расчет чистой прибыли октябрь</t>
  </si>
  <si>
    <t>Расчет чистой прибыли ноябрь</t>
  </si>
  <si>
    <t>Расчет чистой прибыли декабрь</t>
  </si>
  <si>
    <t>Расчет чистой прибыли за год</t>
  </si>
  <si>
    <t>Постоянные 1</t>
  </si>
  <si>
    <t>Постоянные 2</t>
  </si>
  <si>
    <t>Постоянные 3</t>
  </si>
  <si>
    <t>Постоянные 4</t>
  </si>
  <si>
    <t>Постоянные 5</t>
  </si>
  <si>
    <t>Постоянные 6</t>
  </si>
  <si>
    <t>Постоянные 7</t>
  </si>
  <si>
    <t>Переменные 1</t>
  </si>
  <si>
    <t>Переменные 2</t>
  </si>
  <si>
    <t>Переменные 3</t>
  </si>
  <si>
    <t>Переменные 4</t>
  </si>
  <si>
    <t>Переменные 5</t>
  </si>
  <si>
    <t>Переменные 6</t>
  </si>
  <si>
    <t>Ср. прибыль в месяц</t>
  </si>
  <si>
    <t>Чистая прибыль/12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</si>
  <si>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</si>
  <si>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</si>
  <si>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</si>
  <si>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</si>
  <si>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</si>
  <si>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</si>
  <si>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</si>
  <si>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</si>
  <si>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</si>
  <si>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</si>
  <si>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</si>
  <si>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</si>
  <si>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Материалы, включенные в себестоимость</t>
  </si>
  <si>
    <t>*1,4</t>
  </si>
  <si>
    <t>ВЕДЕНИЕ РАСХОДОВ</t>
  </si>
  <si>
    <t>Сервис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</si>
</sst>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9"/>
      <name val="Segoe UI"/>
      <color rgb="FF000000"/>
      <family val="2"/>
      <scheme val="minor"/>
    </font>
    <font>
      <sz val="10"/>
      <name val="Segoe UI"/>
      <color rgb="FF000000"/>
      <family val="2"/>
      <scheme val="minor"/>
    </font>
    <font>
      <b/>
      <sz val="11"/>
      <name val="Calibri"/>
      <color theme="1"/>
      <family val="2"/>
      <scheme val="minor"/>
    </font>
    <font>
      <b/>
      <sz val="10"/>
      <name val="Segoe UI"/>
      <color rgb="FF000000"/>
      <family val="2"/>
      <scheme val="minor"/>
    </font>
    <font>
      <sz val="10"/>
      <name val="Segoe UI"/>
      <color rgb="FFFF3500"/>
    </font>
    <font>
      <sz val="10"/>
      <name val="Segoe UI"/>
      <color rgb="FF000000"/>
    </font>
    <font>
      <sz val="10"/>
      <name val="Segoe UI"/>
      <color rgb="FFF8A41A"/>
    </font>
    <font>
      <sz val="10"/>
      <name val="Segoe UI"/>
      <color rgb="FF71BD44"/>
    </font>
    <font>
      <b/>
      <i/>
      <sz val="11"/>
      <name val="Calibri"/>
      <color theme="1"/>
      <family val="2"/>
      <scheme val="minor"/>
    </font>
    <font>
      <sz val="11"/>
      <name val="Calibri"/>
      <color rgb="FFE6B9B7"/>
      <family val="2"/>
      <scheme val="minor"/>
    </font>
    <font>
      <b/>
      <sz val="14"/>
      <name val="Calibri"/>
      <color theme="1"/>
      <family val="2"/>
      <scheme val="minor"/>
    </font>
    <font>
      <sz val="11"/>
      <name val="Calibri"/>
      <color rgb="FFFAC090"/>
      <family val="2"/>
      <scheme val="minor"/>
    </font>
    <font>
      <sz val="16"/>
      <name val="Calibri"/>
      <color theme="1"/>
      <family val="2"/>
      <scheme val="minor"/>
    </font>
    <font>
      <sz val="14"/>
      <name val="Calibri"/>
      <color theme="1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3D69B"/>
      </patternFill>
    </fill>
    <fill>
      <patternFill patternType="solid">
        <fgColor rgb="FFFAC090"/>
      </patternFill>
    </fill>
    <fill>
      <patternFill patternType="solid">
        <fgColor rgb="FFFF0000"/>
      </patternFill>
    </fill>
    <fill>
      <patternFill patternType="solid">
        <fgColor rgb="FFFCD5B5"/>
      </patternFill>
    </fill>
  </fills>
  <borders count="5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applyNumberFormat="1" fontId="0" applyFont="1" fillId="2" applyFill="1" borderId="1" applyBorder="1" applyAlignment="1" xfId="0">
      <alignment vertical="center" horizontal="center"/>
    </xf>
    <xf numFmtId="0" applyNumberFormat="1" fontId="0" applyFont="1" fillId="0" applyFill="1" borderId="2" applyBorder="1" applyAlignment="1" xfId="0">
      <alignment wrapText="1" vertical="top" horizontal="center"/>
    </xf>
    <xf numFmtId="0" applyNumberFormat="1" fontId="0" applyFont="1" fillId="0" applyFill="1" borderId="3" applyBorder="1" applyAlignment="1" xfId="0">
      <alignment wrapText="1" vertical="top" horizontal="center"/>
    </xf>
    <xf numFmtId="0" applyNumberFormat="1" fontId="0" applyFont="1" fillId="0" applyFill="1" borderId="4" applyBorder="1" applyAlignment="1" xfId="0">
      <alignment wrapText="1" vertical="top" horizontal="center"/>
    </xf>
    <xf numFmtId="0" applyNumberFormat="1" fontId="0" applyFont="1" fillId="0" applyFill="1" borderId="5" applyBorder="1" applyAlignment="1" xfId="0">
      <alignment wrapText="1" vertical="top" horizontal="center"/>
    </xf>
    <xf numFmtId="0" applyNumberFormat="1" fontId="0" applyFont="1" fillId="0" applyFill="1" borderId="6" applyBorder="1" applyAlignment="1" xfId="0">
      <alignment wrapText="1" vertical="top" horizontal="center"/>
    </xf>
    <xf numFmtId="0" applyNumberFormat="1" fontId="0" applyFont="1" fillId="2" applyFill="1" borderId="7" applyBorder="1" applyAlignment="1" xfId="0">
      <alignment vertical="center" horizontal="center"/>
    </xf>
    <xf numFmtId="0" applyNumberFormat="1" fontId="0" applyFont="1" fillId="0" applyFill="1" borderId="8" applyBorder="1" applyAlignment="1" xfId="0">
      <alignment wrapText="1" vertical="top" horizontal="center"/>
    </xf>
    <xf numFmtId="0" applyNumberFormat="1" fontId="0" applyFont="1" fillId="0" applyFill="1" borderId="9" applyBorder="1" applyAlignment="1" xfId="0">
      <alignment wrapText="1" vertical="top" horizontal="center"/>
    </xf>
    <xf numFmtId="0" applyNumberFormat="1" fontId="0" applyFont="1" fillId="0" applyFill="1" borderId="10" applyBorder="1" applyAlignment="1" xfId="0">
      <alignment wrapText="1" vertical="top" horizontal="center"/>
    </xf>
    <xf numFmtId="0" applyNumberFormat="1" fontId="1" applyFont="1" fillId="2" applyFill="1" borderId="11" applyBorder="1" applyAlignment="1" xfId="0">
      <alignment vertical="top"/>
    </xf>
    <xf numFmtId="0" applyNumberFormat="1" fontId="0" applyFont="1" fillId="0" applyFill="1" borderId="12" applyBorder="1" applyAlignment="1" xfId="0">
      <alignment wrapText="1"/>
    </xf>
    <xf numFmtId="0" applyNumberFormat="1" fontId="0" applyFont="1" fillId="0" applyFill="1" borderId="13" applyBorder="1" applyAlignment="1" xfId="0">
      <alignment wrapText="1"/>
    </xf>
    <xf numFmtId="0" applyNumberFormat="1" fontId="0" applyFont="1" fillId="0" applyFill="1" applyAlignment="1" xfId="0">
      <alignment wrapText="1"/>
    </xf>
    <xf numFmtId="0" applyNumberFormat="1" fontId="0" applyFont="1" fillId="0" applyFill="1" borderId="13" applyBorder="1" xfId="0"/>
    <xf numFmtId="0" applyNumberFormat="1" fontId="0" applyFont="1" fillId="0" applyFill="1" borderId="12" applyBorder="1" xfId="0"/>
    <xf numFmtId="0" applyNumberFormat="1" fontId="1" applyFont="1" fillId="2" applyFill="1" borderId="11" applyBorder="1" applyAlignment="1" xfId="0">
      <alignment wrapText="1" vertical="top"/>
    </xf>
    <xf numFmtId="0" applyNumberFormat="1" fontId="0" applyFont="1" fillId="0" applyFill="1" borderId="14" applyBorder="1" applyAlignment="1" xfId="0">
      <alignment wrapText="1"/>
    </xf>
    <xf numFmtId="0" applyNumberFormat="1" fontId="0" applyFont="1" fillId="0" applyFill="1" borderId="15" applyBorder="1" applyAlignment="1" xfId="0">
      <alignment wrapText="1"/>
    </xf>
    <xf numFmtId="0" applyNumberFormat="1" fontId="0" applyFont="1" fillId="0" applyFill="1" borderId="16" applyBorder="1" applyAlignment="1" xfId="0">
      <alignment wrapText="1"/>
    </xf>
    <xf numFmtId="0" applyNumberFormat="1" fontId="0" applyFont="1" fillId="0" applyFill="1" borderId="17" applyBorder="1" applyAlignment="1" xfId="0">
      <alignment wrapText="1" vertical="top" horizontal="center"/>
    </xf>
    <xf numFmtId="0" applyNumberFormat="1" fontId="0" applyFont="1" fillId="0" applyFill="1" borderId="18" applyBorder="1" applyAlignment="1" xfId="0">
      <alignment wrapText="1" vertical="top" horizontal="center"/>
    </xf>
    <xf numFmtId="0" applyNumberFormat="1" fontId="0" applyFont="1" fillId="0" applyFill="1" borderId="16" applyBorder="1" applyAlignment="1" xfId="0">
      <alignment wrapText="1" horizontal="center"/>
    </xf>
    <xf numFmtId="0" applyNumberFormat="1" fontId="0" applyFont="1" fillId="0" applyFill="1" borderId="19" applyBorder="1" applyAlignment="1" xfId="0">
      <alignment wrapText="1" horizontal="center"/>
    </xf>
    <xf numFmtId="0" applyNumberFormat="1" fontId="0" applyFont="1" fillId="0" applyFill="1" borderId="20" applyBorder="1" applyAlignment="1" xfId="0">
      <alignment wrapText="1" horizontal="center"/>
    </xf>
    <xf numFmtId="0" applyNumberFormat="1" fontId="2" applyFont="1" fillId="0" applyFill="1" xfId="0"/>
    <xf numFmtId="0" applyNumberFormat="1" fontId="2" applyFont="1" fillId="0" applyFill="1" applyAlignment="1" xfId="0">
      <alignment horizontal="center"/>
    </xf>
    <xf numFmtId="0" applyNumberFormat="1" fontId="0" applyFont="1" fillId="0" applyFill="1" applyAlignment="1" xfId="0">
      <alignment horizontal="center"/>
    </xf>
    <xf numFmtId="0" applyNumberFormat="1" fontId="3" applyFont="1" fillId="0" applyFill="1" borderId="2" applyBorder="1" applyAlignment="1" xfId="0">
      <alignment wrapText="1" vertical="top" horizontal="center"/>
    </xf>
    <xf numFmtId="0" applyNumberFormat="1" fontId="3" applyFont="1" fillId="0" applyFill="1" borderId="3" applyBorder="1" applyAlignment="1" xfId="0">
      <alignment wrapText="1" vertical="top" horizontal="center"/>
    </xf>
    <xf numFmtId="0" applyNumberFormat="1" fontId="3" applyFont="1" fillId="2" applyFill="1" borderId="1" applyBorder="1" applyAlignment="1" xfId="0">
      <alignment vertical="center" horizontal="center"/>
    </xf>
    <xf numFmtId="0" applyNumberFormat="1" fontId="3" applyFont="1" fillId="2" applyFill="1" borderId="7" applyBorder="1" applyAlignment="1" xfId="0">
      <alignment vertical="center" horizontal="center"/>
    </xf>
    <xf numFmtId="0" applyNumberFormat="1" fontId="4" applyFont="1" fillId="0" applyFill="1" applyAlignment="1" xfId="0">
      <alignment horizontal="center"/>
    </xf>
    <xf numFmtId="0" applyNumberFormat="1" fontId="3" applyFont="1" fillId="0" applyFill="1" borderId="4" applyBorder="1" applyAlignment="1" xfId="0">
      <alignment wrapText="1" vertical="top" horizontal="center"/>
    </xf>
    <xf numFmtId="0" applyNumberFormat="1" fontId="3" applyFont="1" fillId="0" applyFill="1" borderId="2" applyBorder="1" applyAlignment="1" xfId="0">
      <alignment vertical="top" horizontal="center"/>
    </xf>
    <xf numFmtId="0" applyNumberFormat="1" fontId="3" applyFont="1" fillId="0" applyFill="1" borderId="3" applyBorder="1" applyAlignment="1" xfId="0">
      <alignment vertical="top" horizontal="center"/>
    </xf>
    <xf numFmtId="0" applyNumberFormat="1" fontId="3" applyFont="1" fillId="0" applyFill="1" borderId="4" applyBorder="1" applyAlignment="1" xfId="0">
      <alignment vertical="top" horizontal="center"/>
    </xf>
    <xf numFmtId="0" applyNumberFormat="1" fontId="0" applyFont="1" fillId="3" applyFill="1" borderId="13" applyBorder="1" applyAlignment="1" xfId="0">
      <alignment wrapText="1"/>
    </xf>
    <xf numFmtId="0" applyNumberFormat="1" fontId="0" applyFont="1" fillId="4" applyFill="1" applyAlignment="1" xfId="0">
      <alignment wrapText="1"/>
    </xf>
    <xf numFmtId="0" applyNumberFormat="1" fontId="0" applyFont="1" fillId="4" applyFill="1" borderId="13" applyBorder="1" applyAlignment="1" xfId="0">
      <alignment wrapText="1"/>
    </xf>
    <xf numFmtId="0" applyNumberFormat="1" fontId="0" applyFont="1" fillId="4" applyFill="1" borderId="13" applyBorder="1" xfId="0"/>
    <xf numFmtId="0" applyNumberFormat="1" fontId="0" applyFont="1" fillId="4" applyFill="1" borderId="16" applyBorder="1" applyAlignment="1" xfId="0">
      <alignment wrapText="1" horizontal="center"/>
    </xf>
    <xf numFmtId="0" applyNumberFormat="1" fontId="0" applyFont="1" fillId="4" applyFill="1" borderId="19" applyBorder="1" applyAlignment="1" xfId="0">
      <alignment wrapText="1" horizontal="center"/>
    </xf>
    <xf numFmtId="0" applyNumberFormat="1" fontId="0" applyFont="1" fillId="4" applyFill="1" borderId="20" applyBorder="1" applyAlignment="1" xfId="0">
      <alignment wrapText="1" horizontal="center"/>
    </xf>
    <xf numFmtId="0" applyNumberFormat="1" fontId="0" applyFont="1" fillId="4" applyFill="1" xfId="0"/>
    <xf numFmtId="0" applyNumberFormat="1" fontId="0" applyFont="1" fillId="2" applyFill="1" xfId="0"/>
    <xf numFmtId="0" applyNumberFormat="1" fontId="0" applyFont="1" fillId="4" applyFill="1" applyAlignment="1" xfId="0">
      <alignment horizontal="center"/>
    </xf>
    <xf numFmtId="0" applyNumberFormat="1" fontId="3" applyFont="1" fillId="2" applyFill="1" borderId="21" applyBorder="1" applyAlignment="1" xfId="0">
      <alignment vertical="center" horizontal="center"/>
    </xf>
    <xf numFmtId="0" applyNumberFormat="1" fontId="3" applyFont="1" fillId="0" applyFill="1" borderId="21" applyBorder="1" applyAlignment="1" xfId="0">
      <alignment wrapText="1" vertical="top" horizontal="center"/>
    </xf>
    <xf numFmtId="0" applyNumberFormat="1" fontId="3" applyFont="1" fillId="0" applyFill="1" borderId="21" applyBorder="1" applyAlignment="1" xfId="0">
      <alignment vertical="top" horizontal="center"/>
    </xf>
    <xf numFmtId="0" applyNumberFormat="1" fontId="4" applyFont="1" fillId="0" applyFill="1" borderId="21" applyBorder="1" applyAlignment="1" xfId="0">
      <alignment horizontal="center"/>
    </xf>
    <xf numFmtId="0" applyNumberFormat="1" fontId="0" applyFont="1" fillId="0" applyFill="1" borderId="21" applyBorder="1" applyAlignment="1" xfId="0">
      <alignment wrapText="1" vertical="top" horizontal="center"/>
    </xf>
    <xf numFmtId="0" applyNumberFormat="1" fontId="0" applyFont="1" fillId="0" applyFill="1" borderId="22" applyBorder="1" applyAlignment="1" xfId="0">
      <alignment wrapText="1"/>
    </xf>
    <xf numFmtId="0" applyNumberFormat="1" fontId="0" applyFont="1" fillId="0" applyFill="1" borderId="23" applyBorder="1" applyAlignment="1" xfId="0">
      <alignment wrapText="1"/>
    </xf>
    <xf numFmtId="0" applyNumberFormat="1" fontId="0" applyFont="1" fillId="0" applyFill="1" borderId="22" applyBorder="1" xfId="0"/>
    <xf numFmtId="0" applyNumberFormat="1" fontId="0" applyFont="1" fillId="0" applyFill="1" borderId="23" applyBorder="1" xfId="0"/>
    <xf numFmtId="0" applyNumberFormat="1" fontId="0" applyFont="1" fillId="0" applyFill="1" borderId="24" applyBorder="1" applyAlignment="1" xfId="0">
      <alignment wrapText="1"/>
    </xf>
    <xf numFmtId="0" applyNumberFormat="1" fontId="0" applyFont="1" fillId="0" applyFill="1" borderId="25" applyBorder="1" applyAlignment="1" xfId="0">
      <alignment wrapText="1"/>
    </xf>
    <xf numFmtId="0" applyNumberFormat="1" fontId="3" applyFont="1" fillId="2" applyFill="1" borderId="21" applyBorder="1" applyAlignment="1" xfId="0">
      <alignment wrapText="1" vertical="center" horizontal="center"/>
    </xf>
    <xf numFmtId="0" applyNumberFormat="1" fontId="4" applyFont="1" fillId="0" applyFill="1" borderId="21" applyBorder="1" applyAlignment="1" xfId="0">
      <alignment wrapText="1" horizontal="center"/>
    </xf>
    <xf numFmtId="0" applyNumberFormat="1" fontId="0" applyFont="1" fillId="4" applyFill="1" applyAlignment="1" xfId="0">
      <alignment wrapText="1" horizontal="center"/>
    </xf>
    <xf numFmtId="0" applyNumberFormat="1" fontId="1" applyFont="1" fillId="2" applyFill="1" applyAlignment="1" xfId="0">
      <alignment wrapText="1" vertical="top"/>
    </xf>
    <xf numFmtId="0" applyNumberFormat="1" fontId="0" applyFont="1" fillId="0" applyFill="1" applyAlignment="1" xfId="0">
      <alignment wrapText="1" vertical="top" horizontal="center"/>
    </xf>
    <xf numFmtId="0" applyNumberFormat="1" fontId="1" applyFont="1" fillId="2" applyFill="1" borderId="22" applyBorder="1" applyAlignment="1" xfId="0">
      <alignment wrapText="1" vertical="top"/>
    </xf>
    <xf numFmtId="0" applyNumberFormat="1" fontId="1" applyFont="1" fillId="2" applyFill="1" borderId="26" applyBorder="1" applyAlignment="1" xfId="0">
      <alignment wrapText="1" vertical="top"/>
    </xf>
    <xf numFmtId="0" applyNumberFormat="1" fontId="1" applyFont="1" fillId="2" applyFill="1" borderId="24" applyBorder="1" applyAlignment="1" xfId="0">
      <alignment wrapText="1" vertical="top"/>
    </xf>
    <xf numFmtId="0" applyNumberFormat="1" fontId="1" applyFont="1" fillId="2" applyFill="1" borderId="27" applyBorder="1" applyAlignment="1" xfId="0">
      <alignment wrapText="1" vertical="top"/>
    </xf>
    <xf numFmtId="0" applyNumberFormat="1" fontId="0" applyFont="1" fillId="4" applyFill="1" borderId="23" applyBorder="1" applyAlignment="1" xfId="0">
      <alignment wrapText="1"/>
    </xf>
    <xf numFmtId="0" applyNumberFormat="1" fontId="0" applyFont="1" fillId="4" applyFill="1" borderId="25" applyBorder="1" applyAlignment="1" xfId="0">
      <alignment wrapText="1"/>
    </xf>
    <xf numFmtId="0" applyNumberFormat="1" fontId="0" applyFont="1" fillId="0" applyFill="1" borderId="21" applyBorder="1" applyAlignment="1" xfId="0">
      <alignment wrapText="1"/>
    </xf>
    <xf numFmtId="0" applyNumberFormat="1" fontId="0" applyFont="1" fillId="4" applyFill="1" borderId="21" applyBorder="1" applyAlignment="1" xfId="0">
      <alignment wrapText="1" horizontal="center"/>
    </xf>
    <xf numFmtId="0" applyNumberFormat="1" fontId="9" applyFont="1" fillId="2" applyFill="1" borderId="21" applyBorder="1" applyAlignment="1" xfId="0">
      <alignment wrapText="1" vertical="center" horizontal="center"/>
    </xf>
    <xf numFmtId="0" applyNumberFormat="1" fontId="3" applyFont="1" fillId="2" applyFill="1" borderId="2" applyBorder="1" applyAlignment="1" xfId="0">
      <alignment wrapText="1" vertical="center" horizontal="center"/>
    </xf>
    <xf numFmtId="0" applyNumberFormat="1" fontId="4" applyFont="1" fillId="0" applyFill="1" borderId="4" applyBorder="1" applyAlignment="1" xfId="0">
      <alignment wrapText="1" horizontal="center"/>
    </xf>
    <xf numFmtId="0" applyNumberFormat="1" fontId="4" applyFont="1" fillId="0" applyFill="1" borderId="3" applyBorder="1" applyAlignment="1" xfId="0">
      <alignment wrapText="1" horizontal="center"/>
    </xf>
    <xf numFmtId="0" applyNumberFormat="1" fontId="3" applyFont="1" fillId="2" applyFill="1" borderId="28" applyBorder="1" applyAlignment="1" xfId="0">
      <alignment wrapText="1" vertical="center" horizontal="center"/>
    </xf>
    <xf numFmtId="0" applyNumberFormat="1" fontId="0" applyFont="1" fillId="0" applyFill="1" borderId="29" applyBorder="1" applyAlignment="1" xfId="0">
      <alignment wrapText="1" vertical="top" horizontal="center"/>
    </xf>
    <xf numFmtId="0" applyNumberFormat="1" fontId="1" applyFont="1" fillId="2" applyFill="1" borderId="30" applyBorder="1" applyAlignment="1" xfId="0">
      <alignment wrapText="1" vertical="top"/>
    </xf>
    <xf numFmtId="0" applyNumberFormat="1" fontId="1" applyFont="1" fillId="2" applyFill="1" borderId="31" applyBorder="1" applyAlignment="1" xfId="0">
      <alignment wrapText="1" vertical="top"/>
    </xf>
    <xf numFmtId="0" applyNumberFormat="1" fontId="0" applyFont="1" fillId="0" applyFill="1" borderId="8" applyBorder="1" applyAlignment="1" xfId="0">
      <alignment wrapText="1"/>
    </xf>
    <xf numFmtId="0" applyNumberFormat="1" fontId="0" applyFont="1" fillId="4" applyFill="1" borderId="10" applyBorder="1" applyAlignment="1" xfId="0">
      <alignment wrapText="1" horizontal="center"/>
    </xf>
    <xf numFmtId="0" applyNumberFormat="1" fontId="0" applyFont="1" fillId="4" applyFill="1" borderId="9" applyBorder="1" applyAlignment="1" xfId="0">
      <alignment wrapText="1" horizontal="center"/>
    </xf>
    <xf numFmtId="0" applyNumberFormat="1" fontId="0" applyFont="1" fillId="0" applyFill="1" borderId="32" applyBorder="1" applyAlignment="1" xfId="0">
      <alignment wrapText="1" horizontal="center"/>
    </xf>
    <xf numFmtId="0" applyNumberFormat="1" fontId="0" applyFont="1" fillId="0" applyFill="1" borderId="33" applyBorder="1" applyAlignment="1" xfId="0">
      <alignment wrapText="1" horizontal="center"/>
    </xf>
    <xf numFmtId="0" applyNumberFormat="1" fontId="0" applyFont="1" fillId="0" applyFill="1" borderId="34" applyBorder="1" applyAlignment="1" xfId="0">
      <alignment wrapText="1" horizontal="center"/>
    </xf>
    <xf numFmtId="0" applyNumberFormat="1" fontId="0" applyFont="1" fillId="0" applyFill="1" borderId="28" applyBorder="1" applyAlignment="1" xfId="0">
      <alignment wrapText="1" horizontal="center"/>
    </xf>
    <xf numFmtId="0" applyNumberFormat="1" fontId="0" applyFont="1" fillId="0" applyFill="1" borderId="21" applyBorder="1" applyAlignment="1" xfId="0">
      <alignment wrapText="1" horizontal="center"/>
    </xf>
    <xf numFmtId="0" applyNumberFormat="1" fontId="0" applyFont="1" fillId="0" applyFill="1" borderId="29" applyBorder="1" applyAlignment="1" xfId="0">
      <alignment wrapText="1"/>
    </xf>
    <xf numFmtId="0" applyNumberFormat="1" fontId="0" applyFont="1" fillId="0" applyFill="1" borderId="30" applyBorder="1" applyAlignment="1" xfId="0">
      <alignment wrapText="1"/>
    </xf>
    <xf numFmtId="0" applyNumberFormat="1" fontId="0" applyFont="1" fillId="0" applyFill="1" borderId="26" applyBorder="1" applyAlignment="1" xfId="0">
      <alignment wrapText="1"/>
    </xf>
    <xf numFmtId="10" applyNumberFormat="1" fontId="0" applyFont="1" fillId="0" applyFill="1" borderId="26" applyBorder="1" applyAlignment="1" xfId="0">
      <alignment wrapText="1"/>
    </xf>
    <xf numFmtId="0" applyNumberFormat="1" fontId="0" applyFont="1" fillId="0" applyFill="1" borderId="35" applyBorder="1" applyAlignment="1" xfId="0">
      <alignment wrapText="1"/>
    </xf>
    <xf numFmtId="0" applyNumberFormat="1" fontId="0" applyFont="1" fillId="0" applyFill="1" borderId="36" applyBorder="1" applyAlignment="1" xfId="0">
      <alignment wrapText="1"/>
    </xf>
    <xf numFmtId="0" applyNumberFormat="1" fontId="0" applyFont="1" fillId="0" applyFill="1" borderId="37" applyBorder="1" applyAlignment="1" xfId="0">
      <alignment wrapText="1"/>
    </xf>
    <xf numFmtId="0" applyNumberFormat="1" fontId="0" applyFont="1" fillId="0" applyFill="1" borderId="38" applyBorder="1" applyAlignment="1" xfId="0">
      <alignment wrapText="1"/>
    </xf>
    <xf numFmtId="10" applyNumberFormat="1" fontId="0" applyFont="1" fillId="0" applyFill="1" borderId="37" applyBorder="1" applyAlignment="1" xfId="0">
      <alignment wrapText="1"/>
    </xf>
    <xf numFmtId="0" applyNumberFormat="1" fontId="0" applyFont="1" fillId="0" applyFill="1" borderId="39" applyBorder="1" applyAlignment="1" xfId="0">
      <alignment wrapText="1"/>
    </xf>
    <xf numFmtId="0" applyNumberFormat="1" fontId="0" applyFont="1" fillId="0" applyFill="1" borderId="29" applyBorder="1" applyAlignment="1" xfId="0">
      <alignment wrapText="1" horizontal="center"/>
    </xf>
    <xf numFmtId="0" applyNumberFormat="1" fontId="0" applyFont="1" fillId="0" applyFill="1" borderId="21" applyBorder="1" xfId="0"/>
    <xf numFmtId="0" applyNumberFormat="1" fontId="0" applyFont="1" fillId="4" applyFill="1" borderId="21" applyBorder="1" applyAlignment="1" xfId="0">
      <alignment wrapText="1"/>
    </xf>
    <xf numFmtId="0" applyNumberFormat="1" fontId="0" applyFont="1" fillId="4" applyFill="1" borderId="21" applyBorder="1" xfId="0"/>
    <xf numFmtId="0" applyNumberFormat="1" fontId="0" applyFont="1" fillId="0" applyFill="1" borderId="40" applyBorder="1" applyAlignment="1" xfId="0">
      <alignment wrapText="1" textRotation="90" vertical="center" horizontal="center"/>
    </xf>
    <xf numFmtId="0" applyNumberFormat="1" fontId="0" applyFont="1" fillId="0" applyFill="1" borderId="41" applyBorder="1" applyAlignment="1" xfId="0">
      <alignment horizontal="center"/>
    </xf>
    <xf numFmtId="0" applyNumberFormat="1" fontId="0" applyFont="1" fillId="0" applyFill="1" borderId="33" applyBorder="1" applyAlignment="1" xfId="0">
      <alignment horizontal="center"/>
    </xf>
    <xf numFmtId="0" applyNumberFormat="1" fontId="0" applyFont="1" fillId="0" applyFill="1" borderId="34" applyBorder="1" applyAlignment="1" xfId="0">
      <alignment horizontal="center"/>
    </xf>
    <xf numFmtId="0" applyNumberFormat="1" fontId="0" applyFont="1" fillId="0" applyFill="1" borderId="30" applyBorder="1" applyAlignment="1" xfId="0">
      <alignment wrapText="1" textRotation="90" vertical="center" horizontal="center"/>
    </xf>
    <xf numFmtId="0" applyNumberFormat="1" fontId="0" applyFont="1" fillId="0" applyFill="1" borderId="29" applyBorder="1" xfId="0"/>
    <xf numFmtId="0" applyNumberFormat="1" fontId="0" applyFont="1" fillId="0" applyFill="1" borderId="26" applyBorder="1" xfId="0"/>
    <xf numFmtId="0" applyNumberFormat="1" fontId="0" applyFont="1" fillId="0" applyFill="1" borderId="29" applyBorder="1" applyAlignment="1" xfId="0">
      <alignment horizontal="center"/>
    </xf>
    <xf numFmtId="0" applyNumberFormat="1" fontId="0" applyFont="1" fillId="0" applyFill="1" borderId="27" applyBorder="1" applyAlignment="1" xfId="0">
      <alignment wrapText="1"/>
    </xf>
    <xf numFmtId="0" applyNumberFormat="1" fontId="0" applyFont="1" fillId="0" applyFill="1" borderId="42" applyBorder="1" xfId="0"/>
    <xf numFmtId="0" applyNumberFormat="1" fontId="0" applyFont="1" fillId="0" applyFill="1" borderId="27" applyBorder="1" xfId="0"/>
    <xf numFmtId="0" applyNumberFormat="1" fontId="0" applyFont="1" fillId="0" applyFill="1" borderId="43" applyBorder="1" applyAlignment="1" xfId="0">
      <alignment horizontal="left"/>
    </xf>
    <xf numFmtId="0" applyNumberFormat="1" fontId="0" applyFont="1" fillId="0" applyFill="1" borderId="44" applyBorder="1" applyAlignment="1" xfId="0">
      <alignment horizontal="left"/>
    </xf>
    <xf numFmtId="0" applyNumberFormat="1" fontId="0" applyFont="1" fillId="0" applyFill="1" borderId="45" applyBorder="1" xfId="0"/>
    <xf numFmtId="0" applyNumberFormat="1" fontId="0" applyFont="1" fillId="0" applyFill="1" borderId="46" applyBorder="1" applyAlignment="1" xfId="0">
      <alignment horizontal="center"/>
    </xf>
    <xf numFmtId="0" applyNumberFormat="1" fontId="0" applyFont="1" fillId="0" applyFill="1" borderId="22" applyBorder="1" applyAlignment="1" xfId="0">
      <alignment horizontal="left"/>
    </xf>
    <xf numFmtId="0" applyNumberFormat="1" fontId="0" applyFont="1" fillId="0" applyFill="1" applyAlignment="1" xfId="0">
      <alignment horizontal="left"/>
    </xf>
    <xf numFmtId="0" applyNumberFormat="1" fontId="0" applyFont="1" fillId="0" applyFill="1" borderId="35" applyBorder="1" applyAlignment="1" xfId="0">
      <alignment horizontal="center"/>
    </xf>
    <xf numFmtId="0" applyNumberFormat="1" fontId="0" applyFont="1" fillId="0" applyFill="1" borderId="47" applyBorder="1" applyAlignment="1" xfId="0">
      <alignment horizontal="center"/>
    </xf>
    <xf numFmtId="0" applyNumberFormat="1" fontId="0" applyFont="1" fillId="0" applyFill="1" borderId="31" applyBorder="1" applyAlignment="1" xfId="0">
      <alignment wrapText="1" textRotation="90" vertical="center" horizontal="center"/>
    </xf>
    <xf numFmtId="0" applyNumberFormat="1" fontId="0" applyFont="1" fillId="5" applyFill="1" borderId="48" applyBorder="1" applyAlignment="1" xfId="0">
      <alignment horizontal="left"/>
    </xf>
    <xf numFmtId="0" applyNumberFormat="1" fontId="10" applyFont="1" fillId="5" applyFill="1" borderId="29" applyBorder="1" applyAlignment="1" xfId="0">
      <alignment horizontal="center"/>
    </xf>
    <xf numFmtId="0" applyNumberFormat="1" fontId="0" applyFont="1" fillId="0" applyFill="1" borderId="49" applyBorder="1" applyAlignment="1" xfId="0">
      <alignment vertical="center" horizontal="center"/>
    </xf>
    <xf numFmtId="0" applyNumberFormat="1" fontId="0" applyFont="1" fillId="0" applyFill="1" borderId="43" applyBorder="1" xfId="0"/>
    <xf numFmtId="0" applyNumberFormat="1" fontId="0" applyFont="1" fillId="0" applyFill="1" borderId="44" applyBorder="1" applyAlignment="1" xfId="0">
      <alignment horizontal="center"/>
    </xf>
    <xf numFmtId="0" applyNumberFormat="1" fontId="0" applyFont="1" fillId="0" applyFill="1" borderId="44" applyBorder="1" xfId="0"/>
    <xf numFmtId="0" applyNumberFormat="1" fontId="0" applyFont="1" fillId="0" applyFill="1" borderId="30" applyBorder="1" applyAlignment="1" xfId="0">
      <alignment vertical="center" horizontal="center"/>
    </xf>
    <xf numFmtId="0" applyNumberFormat="1" fontId="0" applyFont="1" fillId="0" applyFill="1" borderId="31" applyBorder="1" applyAlignment="1" xfId="0">
      <alignment vertical="center" horizontal="center"/>
    </xf>
    <xf numFmtId="0" applyNumberFormat="1" fontId="0" applyFont="1" fillId="0" applyFill="1" borderId="24" applyBorder="1" xfId="0"/>
    <xf numFmtId="0" applyNumberFormat="1" fontId="0" applyFont="1" fillId="0" applyFill="1" borderId="42" applyBorder="1" applyAlignment="1" xfId="0">
      <alignment horizontal="center"/>
    </xf>
    <xf numFmtId="0" applyNumberFormat="1" fontId="0" applyFont="1" fillId="0" applyFill="1" borderId="28" applyBorder="1" xfId="0"/>
    <xf numFmtId="0" applyNumberFormat="1" fontId="0" applyFont="1" fillId="0" applyFill="1" borderId="21" applyBorder="1" applyAlignment="1" xfId="0">
      <alignment horizontal="center"/>
    </xf>
    <xf numFmtId="0" applyNumberFormat="1" fontId="0" applyFont="1" fillId="0" applyFill="1" borderId="8" applyBorder="1" xfId="0"/>
    <xf numFmtId="0" applyNumberFormat="1" fontId="0" applyFont="1" fillId="0" applyFill="1" borderId="10" applyBorder="1" applyAlignment="1" xfId="0">
      <alignment horizontal="center"/>
    </xf>
    <xf numFmtId="0" applyNumberFormat="1" fontId="0" applyFont="1" fillId="0" applyFill="1" borderId="9" applyBorder="1" xfId="0"/>
    <xf numFmtId="0" applyNumberFormat="1" fontId="0" applyFont="1" fillId="0" applyFill="1" borderId="43" applyBorder="1" applyAlignment="1" xfId="0">
      <alignment horizontal="center"/>
    </xf>
    <xf numFmtId="0" applyNumberFormat="1" fontId="0" applyFont="1" fillId="0" applyFill="1" borderId="22" applyBorder="1" applyAlignment="1" xfId="0">
      <alignment horizontal="center"/>
    </xf>
    <xf numFmtId="0" applyNumberFormat="1" fontId="0" applyFont="1" fillId="0" applyFill="1" borderId="24" applyBorder="1" applyAlignment="1" xfId="0">
      <alignment horizontal="center"/>
    </xf>
    <xf numFmtId="0" applyNumberFormat="1" fontId="0" applyFont="1" fillId="0" applyFill="1" borderId="24" applyBorder="1" applyAlignment="1" xfId="0">
      <alignment horizontal="left"/>
    </xf>
    <xf numFmtId="0" applyNumberFormat="1" fontId="3" applyFont="1" fillId="0" applyFill="1" borderId="40" applyBorder="1" applyAlignment="1" xfId="0">
      <alignment wrapText="1" textRotation="90" vertical="center" horizontal="center"/>
    </xf>
    <xf numFmtId="0" applyNumberFormat="1" fontId="3" applyFont="1" fillId="0" applyFill="1" borderId="30" applyBorder="1" applyAlignment="1" xfId="0">
      <alignment wrapText="1" textRotation="90" vertical="center" horizontal="center"/>
    </xf>
    <xf numFmtId="0" applyNumberFormat="1" fontId="3" applyFont="1" fillId="0" applyFill="1" borderId="31" applyBorder="1" applyAlignment="1" xfId="0">
      <alignment wrapText="1" textRotation="90" vertical="center" horizontal="center"/>
    </xf>
    <xf numFmtId="0" applyNumberFormat="1" fontId="3" applyFont="1" fillId="0" applyFill="1" borderId="41" applyBorder="1" applyAlignment="1" xfId="0">
      <alignment horizontal="center"/>
    </xf>
    <xf numFmtId="0" applyNumberFormat="1" fontId="3" applyFont="1" fillId="0" applyFill="1" borderId="33" applyBorder="1" applyAlignment="1" xfId="0">
      <alignment horizontal="center"/>
    </xf>
    <xf numFmtId="0" applyNumberFormat="1" fontId="3" applyFont="1" fillId="0" applyFill="1" borderId="34" applyBorder="1" applyAlignment="1" xfId="0">
      <alignment horizontal="center"/>
    </xf>
    <xf numFmtId="0" applyNumberFormat="1" fontId="11" applyFont="1" fillId="0" applyFill="1" borderId="41" applyBorder="1" applyAlignment="1" xfId="0">
      <alignment horizontal="center"/>
    </xf>
    <xf numFmtId="0" applyNumberFormat="1" fontId="11" applyFont="1" fillId="0" applyFill="1" borderId="33" applyBorder="1" applyAlignment="1" xfId="0">
      <alignment horizontal="center"/>
    </xf>
    <xf numFmtId="0" applyNumberFormat="1" fontId="11" applyFont="1" fillId="0" applyFill="1" borderId="34" applyBorder="1" applyAlignment="1" xfId="0">
      <alignment horizontal="center"/>
    </xf>
    <xf numFmtId="0" applyNumberFormat="1" fontId="3" applyFont="1" fillId="0" applyFill="1" borderId="49" applyBorder="1" applyAlignment="1" xfId="0">
      <alignment vertical="center" horizontal="center"/>
    </xf>
    <xf numFmtId="0" applyNumberFormat="1" fontId="3" applyFont="1" fillId="0" applyFill="1" borderId="30" applyBorder="1" applyAlignment="1" xfId="0">
      <alignment vertical="center" horizontal="center"/>
    </xf>
    <xf numFmtId="0" applyNumberFormat="1" fontId="3" applyFont="1" fillId="0" applyFill="1" borderId="31" applyBorder="1" applyAlignment="1" xfId="0">
      <alignment vertical="center" horizontal="center"/>
    </xf>
    <xf numFmtId="0" applyNumberFormat="1" fontId="3" applyFont="1" fillId="0" applyFill="1" borderId="28" applyBorder="1" xfId="0"/>
    <xf numFmtId="0" applyNumberFormat="1" fontId="3" applyFont="1" fillId="0" applyFill="1" borderId="8" applyBorder="1" xfId="0"/>
    <xf numFmtId="0" applyNumberFormat="1" fontId="0" applyFont="1" fillId="6" applyFill="1" borderId="26" applyBorder="1" xfId="0"/>
    <xf numFmtId="0" applyNumberFormat="1" fontId="0" applyFont="1" fillId="6" applyFill="1" xfId="0"/>
    <xf numFmtId="0" applyNumberFormat="1" fontId="0" applyFont="1" fillId="6" applyFill="1" borderId="29" applyBorder="1" applyAlignment="1" xfId="0">
      <alignment horizontal="center"/>
    </xf>
    <xf numFmtId="0" applyNumberFormat="1" fontId="0" applyFont="1" fillId="6" applyFill="1" borderId="27" applyBorder="1" xfId="0"/>
    <xf numFmtId="0" applyNumberFormat="1" fontId="0" applyFont="1" fillId="4" applyFill="1" borderId="26" applyBorder="1" xfId="0"/>
    <xf numFmtId="0" applyNumberFormat="1" fontId="0" applyFont="1" fillId="4" applyFill="1" borderId="29" applyBorder="1" applyAlignment="1" xfId="0">
      <alignment horizontal="center"/>
    </xf>
    <xf numFmtId="0" applyNumberFormat="1" fontId="0" applyFont="1" fillId="4" applyFill="1" borderId="27" applyBorder="1" xfId="0"/>
    <xf numFmtId="0" applyNumberFormat="1" fontId="0" applyFont="1" fillId="4" applyFill="1" borderId="46" applyBorder="1" applyAlignment="1" xfId="0">
      <alignment horizontal="center"/>
    </xf>
    <xf numFmtId="0" applyNumberFormat="1" fontId="0" applyFont="1" fillId="4" applyFill="1" borderId="35" applyBorder="1" applyAlignment="1" xfId="0">
      <alignment horizontal="center"/>
    </xf>
    <xf numFmtId="0" applyNumberFormat="1" fontId="0" applyFont="1" fillId="4" applyFill="1" borderId="47" applyBorder="1" applyAlignment="1" xfId="0">
      <alignment horizontal="center"/>
    </xf>
    <xf numFmtId="0" applyNumberFormat="1" fontId="0" applyFont="1" fillId="0" applyFill="1" borderId="48" applyBorder="1" applyAlignment="1" xfId="0">
      <alignment horizontal="left"/>
    </xf>
    <xf numFmtId="0" applyNumberFormat="1" fontId="3" applyFont="1" fillId="0" applyFill="1" borderId="48" applyBorder="1" applyAlignment="1" xfId="0">
      <alignment horizontal="left"/>
    </xf>
    <xf numFmtId="0" applyNumberFormat="1" fontId="10" applyFont="1" fillId="4" applyFill="1" borderId="29" applyBorder="1" applyAlignment="1" xfId="0">
      <alignment horizontal="center"/>
    </xf>
    <xf numFmtId="0" applyNumberFormat="1" fontId="0" applyFont="1" fillId="4" applyFill="1" borderId="29" applyBorder="1" applyAlignment="1" xfId="0">
      <alignment horizontal="center"/>
    </xf>
    <xf numFmtId="0" applyNumberFormat="1" fontId="12" applyFont="1" fillId="0" applyFill="1" borderId="29" applyBorder="1" xfId="0"/>
    <xf numFmtId="0" applyNumberFormat="1" fontId="12" applyFont="1" fillId="0" applyFill="1" borderId="9" applyBorder="1" xfId="0"/>
    <xf numFmtId="0" applyNumberFormat="1" fontId="0" applyFont="1" fillId="0" applyFill="1" borderId="29" applyBorder="1" xfId="0"/>
    <xf numFmtId="0" applyNumberFormat="1" fontId="0" applyFont="1" fillId="0" applyFill="1" borderId="9" applyBorder="1" xfId="0"/>
    <xf numFmtId="0" applyNumberFormat="1" fontId="0" applyFont="1" fillId="4" applyFill="1" borderId="29" applyBorder="1" xfId="0"/>
    <xf numFmtId="0" applyNumberFormat="1" fontId="0" applyFont="1" fillId="4" applyFill="1" borderId="9" applyBorder="1" xfId="0"/>
    <xf numFmtId="0" applyNumberFormat="1" fontId="3" applyFont="1" fillId="0" applyFill="1" xfId="0"/>
    <xf numFmtId="0" applyNumberFormat="1" fontId="0" applyFont="1" fillId="4" applyFill="1" borderId="26" applyBorder="1" applyAlignment="1" xfId="0">
      <alignment wrapText="1"/>
    </xf>
    <xf numFmtId="0" applyNumberFormat="1" fontId="0" applyFont="1" fillId="4" applyFill="1" borderId="27" applyBorder="1" applyAlignment="1" xfId="0">
      <alignment wrapText="1"/>
    </xf>
    <xf numFmtId="0" applyNumberFormat="1" fontId="0" applyFont="1" fillId="4" applyFill="1" borderId="21" applyBorder="1" applyAlignment="1" xfId="0">
      <alignment horizontal="center"/>
    </xf>
    <xf numFmtId="0" applyNumberFormat="1" fontId="0" applyFont="1" fillId="4" applyFill="1" borderId="45" applyBorder="1" applyAlignment="1" xfId="0">
      <alignment horizontal="center"/>
    </xf>
    <xf numFmtId="0" applyNumberFormat="1" fontId="0" applyFont="1" fillId="4" applyFill="1" borderId="26" applyBorder="1" applyAlignment="1" xfId="0">
      <alignment horizontal="center"/>
    </xf>
    <xf numFmtId="0" applyNumberFormat="1" fontId="0" applyFont="1" fillId="4" applyFill="1" borderId="27" applyBorder="1" applyAlignment="1" xfId="0">
      <alignment horizontal="center"/>
    </xf>
    <xf numFmtId="0" applyNumberFormat="1" fontId="0" applyFont="1" fillId="4" applyFill="1" borderId="22" applyBorder="1" xfId="0"/>
    <xf numFmtId="0" applyNumberFormat="1" fontId="0" applyFont="1" fillId="0" applyFill="1" borderId="26" applyBorder="1" applyAlignment="1" xfId="0">
      <alignment horizontal="left"/>
    </xf>
    <xf numFmtId="0" applyNumberFormat="1" fontId="3" applyFont="1" fillId="0" applyFill="1" borderId="21" applyBorder="1" xfId="0"/>
    <xf numFmtId="0" applyNumberFormat="1" fontId="2" applyFont="1" fillId="0" applyFill="1" borderId="21" applyBorder="1" xfId="0"/>
    <xf numFmtId="0" applyNumberFormat="1" fontId="0" applyFont="1" fillId="4" applyFill="1" borderId="21" applyBorder="1" xfId="0"/>
    <xf numFmtId="0" applyNumberFormat="1" fontId="2" applyFont="1" fillId="0" applyFill="1" borderId="9" applyBorder="1" xfId="0"/>
    <xf numFmtId="0" applyNumberFormat="1" fontId="3" applyFont="1" fillId="0" applyFill="1" borderId="40" applyBorder="1" applyAlignment="1" xfId="0">
      <alignment wrapText="1" textRotation="135" vertical="center" horizontal="center"/>
    </xf>
    <xf numFmtId="0" applyNumberFormat="1" fontId="3" applyFont="1" fillId="0" applyFill="1" borderId="30" applyBorder="1" applyAlignment="1" xfId="0">
      <alignment wrapText="1" textRotation="135" vertical="center" horizontal="center"/>
    </xf>
    <xf numFmtId="0" applyNumberFormat="1" fontId="3" applyFont="1" fillId="0" applyFill="1" borderId="31" applyBorder="1" applyAlignment="1" xfId="0">
      <alignment wrapText="1" textRotation="135" vertical="center" horizontal="center"/>
    </xf>
    <xf numFmtId="0" applyNumberFormat="1" fontId="3" applyFont="1" fillId="0" applyFill="1" borderId="40" applyBorder="1" applyAlignment="1" xfId="0">
      <alignment wrapText="1" textRotation="45" vertical="center" horizontal="center"/>
    </xf>
    <xf numFmtId="0" applyNumberFormat="1" fontId="3" applyFont="1" fillId="0" applyFill="1" borderId="30" applyBorder="1" applyAlignment="1" xfId="0">
      <alignment wrapText="1" textRotation="45" vertical="center" horizontal="center"/>
    </xf>
    <xf numFmtId="0" applyNumberFormat="1" fontId="3" applyFont="1" fillId="0" applyFill="1" borderId="31" applyBorder="1" applyAlignment="1" xfId="0">
      <alignment wrapText="1" textRotation="45" vertical="center" horizontal="center"/>
    </xf>
    <xf numFmtId="0" applyNumberFormat="1" fontId="3" applyFont="1" fillId="0" applyFill="1" borderId="40" applyBorder="1" applyAlignment="1" xfId="0">
      <alignment wrapText="1" vertical="center" horizontal="center"/>
    </xf>
    <xf numFmtId="0" applyNumberFormat="1" fontId="3" applyFont="1" fillId="0" applyFill="1" borderId="30" applyBorder="1" applyAlignment="1" xfId="0">
      <alignment wrapText="1" vertical="center" horizontal="center"/>
    </xf>
    <xf numFmtId="0" applyNumberFormat="1" fontId="3" applyFont="1" fillId="0" applyFill="1" borderId="31" applyBorder="1" applyAlignment="1" xfId="0">
      <alignment wrapText="1" vertical="center" horizontal="center"/>
    </xf>
    <xf numFmtId="0" applyNumberFormat="1" fontId="0" applyFont="1" fillId="0" applyFill="1" borderId="26" applyBorder="1" applyAlignment="1" xfId="0">
      <alignment horizontal="center"/>
    </xf>
    <xf numFmtId="0" applyNumberFormat="1" fontId="0" applyFont="1" fillId="0" applyFill="1" borderId="27" applyBorder="1" applyAlignment="1" xfId="0">
      <alignment horizontal="center"/>
    </xf>
    <xf numFmtId="0" applyNumberFormat="1" fontId="2" applyFont="1" fillId="4" applyFill="1" borderId="9" applyBorder="1" xfId="0"/>
    <xf numFmtId="0" applyNumberFormat="1" fontId="3" applyFont="1" fillId="0" applyFill="1" applyAlignment="1" xfId="0">
      <alignment horizontal="center"/>
    </xf>
    <xf numFmtId="0" applyNumberFormat="1" fontId="3" applyFont="1" fillId="0" applyFill="1" borderId="21" applyBorder="1" applyAlignment="1" xfId="0">
      <alignment horizontal="center"/>
    </xf>
    <xf numFmtId="0" applyNumberFormat="1" fontId="0" applyFont="1" fillId="0" applyFill="1" borderId="21" applyBorder="1" applyAlignment="1" xfId="0">
      <alignment vertical="center"/>
    </xf>
    <xf numFmtId="0" applyNumberFormat="1" fontId="0" applyFont="1" fillId="0" applyFill="1" borderId="21" applyBorder="1" applyAlignment="1" xfId="0">
      <alignment/>
    </xf>
    <xf numFmtId="0" applyNumberFormat="1" fontId="0" applyFont="1" fillId="0" applyFill="1" borderId="21" applyBorder="1" applyAlignment="1" xfId="0">
      <alignment vertical="top"/>
    </xf>
    <xf numFmtId="0" applyNumberFormat="1" fontId="0" applyFont="1" fillId="0" applyFill="1" borderId="21" applyBorder="1" applyAlignment="1" xfId="0">
      <alignment vertical="top" horizontal="right"/>
    </xf>
    <xf numFmtId="0" applyNumberFormat="1" fontId="0" applyFont="1" fillId="0" applyFill="1" borderId="21" applyBorder="1" applyAlignment="1" xfId="0">
      <alignment vertical="top" horizontal="center"/>
    </xf>
    <xf numFmtId="0" applyNumberFormat="1" fontId="0" applyFont="1" fillId="0" applyFill="1" borderId="25" applyBorder="1" xfId="0"/>
    <xf numFmtId="0" applyNumberFormat="1" fontId="3" applyFont="1" fillId="0" applyFill="1" borderId="2" applyBorder="1" applyAlignment="1" xfId="0">
      <alignment horizontal="center"/>
    </xf>
    <xf numFmtId="0" applyNumberFormat="1" fontId="3" applyFont="1" fillId="0" applyFill="1" borderId="4" applyBorder="1" applyAlignment="1" xfId="0">
      <alignment horizontal="center"/>
    </xf>
    <xf numFmtId="0" applyNumberFormat="1" fontId="3" applyFont="1" fillId="0" applyFill="1" borderId="3" applyBorder="1" applyAlignment="1" xfId="0">
      <alignment horizontal="center"/>
    </xf>
    <xf numFmtId="0" applyNumberFormat="1" fontId="3" applyFont="1" fillId="0" applyFill="1" borderId="28" applyBorder="1" applyAlignment="1" xfId="0">
      <alignment horizontal="center"/>
    </xf>
    <xf numFmtId="0" applyNumberFormat="1" fontId="0" applyFont="1" fillId="0" applyFill="1" borderId="35" applyBorder="1" xfId="0"/>
    <xf numFmtId="0" applyNumberFormat="1" fontId="0" applyFont="1" fillId="0" applyFill="1" borderId="14" applyBorder="1" xfId="0"/>
    <xf numFmtId="0" applyNumberFormat="1" fontId="0" applyFont="1" fillId="0" applyFill="1" borderId="50" applyBorder="1" xfId="0"/>
    <xf numFmtId="0" applyNumberFormat="1" fontId="0" applyFont="1" fillId="0" applyFill="1" borderId="51" applyBorder="1" xfId="0"/>
    <xf numFmtId="0" applyNumberFormat="1" fontId="0" applyFont="1" fillId="0" applyFill="1" borderId="38" applyBorder="1" xfId="0"/>
    <xf numFmtId="0" applyNumberFormat="1" fontId="0" applyFont="1" fillId="0" applyFill="1" borderId="39" applyBorder="1" xfId="0"/>
    <xf numFmtId="0" applyNumberFormat="1" fontId="0" applyFont="1" fillId="4" applyFill="1" borderId="29" applyBorder="1" xfId="0"/>
    <xf numFmtId="0" applyNumberFormat="1" fontId="2" applyFont="1" fillId="4" applyFill="1" xfId="0"/>
    <xf numFmtId="10" applyNumberFormat="1" fontId="0" applyFont="1" fillId="4" applyFill="1" borderId="29" applyBorder="1" xfId="0"/>
    <xf numFmtId="0" applyNumberFormat="1" fontId="3" applyFont="1" fillId="0" applyFill="1" borderId="14" applyBorder="1" xfId="0"/>
    <xf numFmtId="0" applyNumberFormat="1" fontId="0" applyFont="1" fillId="0" applyFill="1" borderId="38" applyBorder="1" applyAlignment="1" xfId="0">
      <alignment horizontal="center"/>
    </xf>
    <xf numFmtId="0" applyNumberFormat="1" fontId="0" applyFont="1" fillId="0" applyFill="1" borderId="15" applyBorder="1" xfId="0"/>
    <xf numFmtId="10" applyNumberFormat="1" fontId="0" applyFont="1" fillId="4" applyFill="1" borderId="21" applyBorder="1" xfId="0"/>
    <xf numFmtId="0" applyNumberFormat="1" fontId="2" applyFont="1" fillId="4" applyFill="1" borderId="21" applyBorder="1" xfId="0"/>
    <xf numFmtId="0" applyNumberFormat="1" fontId="2" applyFont="1" fillId="4" applyFill="1" borderId="29" applyBorder="1" xfId="0"/>
    <xf numFmtId="0" applyNumberFormat="1" fontId="3" applyFont="1" fillId="4" applyFill="1" borderId="40" applyBorder="1" applyAlignment="1" xfId="0">
      <alignment wrapText="1" vertical="center" horizontal="center"/>
    </xf>
    <xf numFmtId="0" applyNumberFormat="1" fontId="11" applyFont="1" fillId="4" applyFill="1" borderId="41" applyBorder="1" applyAlignment="1" xfId="0">
      <alignment horizontal="center"/>
    </xf>
    <xf numFmtId="0" applyNumberFormat="1" fontId="11" applyFont="1" fillId="4" applyFill="1" borderId="33" applyBorder="1" applyAlignment="1" xfId="0">
      <alignment horizontal="center"/>
    </xf>
    <xf numFmtId="0" applyNumberFormat="1" fontId="11" applyFont="1" fillId="4" applyFill="1" borderId="34" applyBorder="1" applyAlignment="1" xfId="0">
      <alignment horizontal="center"/>
    </xf>
    <xf numFmtId="0" applyNumberFormat="1" fontId="3" applyFont="1" fillId="4" applyFill="1" borderId="30" applyBorder="1" applyAlignment="1" xfId="0">
      <alignment wrapText="1" vertical="center" horizontal="center"/>
    </xf>
    <xf numFmtId="0" applyNumberFormat="1" fontId="0" applyFont="1" fillId="4" applyFill="1" borderId="22" applyBorder="1" applyAlignment="1" xfId="0">
      <alignment horizontal="left"/>
    </xf>
    <xf numFmtId="0" applyNumberFormat="1" fontId="0" applyFont="1" fillId="4" applyFill="1" borderId="45" applyBorder="1" xfId="0"/>
    <xf numFmtId="0" applyNumberFormat="1" fontId="0" applyFont="1" fillId="4" applyFill="1" borderId="26" applyBorder="1" applyAlignment="1" xfId="0">
      <alignment horizontal="left"/>
    </xf>
    <xf numFmtId="0" applyNumberFormat="1" fontId="3" applyFont="1" fillId="4" applyFill="1" borderId="31" applyBorder="1" applyAlignment="1" xfId="0">
      <alignment wrapText="1" vertical="center" horizontal="center"/>
    </xf>
    <xf numFmtId="0" applyNumberFormat="1" fontId="3" applyFont="1" fillId="4" applyFill="1" borderId="48" applyBorder="1" applyAlignment="1" xfId="0">
      <alignment horizontal="left"/>
    </xf>
    <xf numFmtId="0" applyNumberFormat="1" fontId="3" applyFont="1" fillId="4" applyFill="1" borderId="49" applyBorder="1" applyAlignment="1" xfId="0">
      <alignment vertical="center" horizontal="center"/>
    </xf>
    <xf numFmtId="0" applyNumberFormat="1" fontId="0" applyFont="1" fillId="4" applyFill="1" borderId="43" applyBorder="1" applyAlignment="1" xfId="0">
      <alignment horizontal="left"/>
    </xf>
    <xf numFmtId="0" applyNumberFormat="1" fontId="0" applyFont="1" fillId="4" applyFill="1" borderId="44" applyBorder="1" xfId="0"/>
    <xf numFmtId="0" applyNumberFormat="1" fontId="3" applyFont="1" fillId="4" applyFill="1" borderId="30" applyBorder="1" applyAlignment="1" xfId="0">
      <alignment vertical="center" horizontal="center"/>
    </xf>
    <xf numFmtId="0" applyNumberFormat="1" fontId="3" applyFont="1" fillId="4" applyFill="1" borderId="31" applyBorder="1" applyAlignment="1" xfId="0">
      <alignment vertical="center" horizontal="center"/>
    </xf>
    <xf numFmtId="0" applyNumberFormat="1" fontId="0" applyFont="1" fillId="4" applyFill="1" borderId="24" applyBorder="1" applyAlignment="1" xfId="0">
      <alignment horizontal="left"/>
    </xf>
    <xf numFmtId="0" applyNumberFormat="1" fontId="0" applyFont="1" fillId="4" applyFill="1" borderId="42" applyBorder="1" xfId="0"/>
    <xf numFmtId="0" applyNumberFormat="1" fontId="3" applyFont="1" fillId="4" applyFill="1" borderId="28" applyBorder="1" xfId="0"/>
    <xf numFmtId="0" applyNumberFormat="1" fontId="3" applyFont="1" fillId="4" applyFill="1" borderId="8" applyBorder="1" xfId="0"/>
    <xf numFmtId="0" applyNumberFormat="1" fontId="0" applyFont="1" fillId="4" applyFill="1" borderId="10" applyBorder="1" applyAlignment="1" xfId="0">
      <alignment horizontal="center"/>
    </xf>
    <xf numFmtId="0" applyNumberFormat="1" fontId="0" applyFont="1" fillId="4" applyFill="1" borderId="9" applyBorder="1" xfId="0"/>
    <xf numFmtId="0" applyNumberFormat="1" fontId="3" applyFont="1" fillId="0" applyFill="1" borderId="8" applyBorder="1" applyAlignment="1" xfId="0">
      <alignment wrapText="1"/>
    </xf>
    <xf numFmtId="0" applyNumberFormat="1" fontId="0" applyFont="1" fillId="0" applyFill="1" borderId="17" applyBorder="1" xfId="0"/>
    <xf numFmtId="0" applyNumberFormat="1" fontId="0" applyFont="1" fillId="0" applyFill="1" borderId="52" applyBorder="1" xfId="0"/>
    <xf numFmtId="0" applyNumberFormat="1" fontId="0" applyFont="1" fillId="0" applyFill="1" borderId="18" applyBorder="1" xfId="0"/>
    <xf numFmtId="0" applyNumberFormat="1" fontId="0" applyFont="1" fillId="0" applyFill="1" borderId="52" applyBorder="1" applyAlignment="1" xfId="0">
      <alignment horizontal="center"/>
    </xf>
    <xf numFmtId="0" applyNumberFormat="1" fontId="0" applyFont="1" fillId="4" applyFill="1" borderId="35" applyBorder="1" xfId="0"/>
    <xf numFmtId="0" applyNumberFormat="1" fontId="0" applyFont="1" fillId="4" applyFill="1" borderId="38" applyBorder="1" xfId="0"/>
    <xf numFmtId="0" applyNumberFormat="1" fontId="0" applyFont="1" fillId="4" applyFill="1" borderId="39" applyBorder="1" xfId="0"/>
    <xf numFmtId="0" applyNumberFormat="1" fontId="0" applyFont="1" fillId="4" applyFill="1" borderId="52" applyBorder="1" xfId="0"/>
    <xf numFmtId="0" applyNumberFormat="1" fontId="0" applyFont="1" fillId="4" applyFill="1" borderId="18" applyBorder="1" xfId="0"/>
    <xf numFmtId="0" applyNumberFormat="1" fontId="0" applyFont="1" fillId="4" applyFill="1" borderId="52" applyBorder="1" applyAlignment="1" xfId="0">
      <alignment horizontal="center"/>
    </xf>
    <xf numFmtId="0" applyNumberFormat="1" fontId="0" applyFont="1" fillId="0" applyFill="1" applyAlignment="1" xfId="0">
      <alignment wrapText="1" horizontal="center"/>
    </xf>
    <xf numFmtId="0" applyNumberFormat="1" fontId="0" applyFont="1" fillId="0" applyFill="1" applyAlignment="1" xfId="0">
      <alignment wrapText="1" vertical="center" horizontal="center"/>
    </xf>
    <xf numFmtId="0" applyNumberFormat="1" fontId="0" applyFont="1" fillId="0" applyFill="1" applyAlignment="1" xfId="0">
      <alignment wrapText="1" textRotation="90" vertical="center" horizontal="center"/>
    </xf>
    <xf numFmtId="0" applyNumberFormat="1" fontId="0" applyFont="1" fillId="0" applyFill="1" applyAlignment="1" xfId="0">
      <alignment wrapText="1" textRotation="90" vertical="top" horizontal="center"/>
    </xf>
    <xf numFmtId="0" applyNumberFormat="1" fontId="13" applyFont="1" fillId="0" applyFill="1" applyAlignment="1" xfId="0">
      <alignment wrapText="1" textRotation="90" vertical="center" horizontal="center"/>
    </xf>
    <xf numFmtId="0" applyNumberFormat="1" fontId="13" applyFont="1" fillId="0" applyFill="1" applyAlignment="1" xfId="0">
      <alignment wrapText="1" textRotation="90" vertical="center" horizontal="left"/>
    </xf>
    <xf numFmtId="0" applyNumberFormat="1" fontId="14" applyFont="1" fillId="0" applyFill="1" applyAlignment="1" xfId="0">
      <alignment wrapText="1" textRotation="90" vertical="center" horizontal="left"/>
    </xf>
    <xf numFmtId="0" applyNumberFormat="1" fontId="14" applyFont="1" fillId="0" applyFill="1" applyAlignment="1" xfId="0">
      <alignment wrapText="1" textRotation="90" vertical="center" horizontal="center"/>
    </xf>
    <xf numFmtId="0" applyNumberFormat="1" fontId="14" applyFont="1" fillId="0" applyFill="1" applyAlignment="1" xfId="0">
      <alignment wrapText="1" textRotation="90" vertical="top" horizontal="center"/>
    </xf>
    <xf numFmtId="0" applyNumberFormat="1" fontId="14" applyFont="1" fillId="0" applyFill="1" applyAlignment="1" xfId="0">
      <alignment wrapText="1" textRotation="90" vertical="top" horizontal="right"/>
    </xf>
    <xf numFmtId="0" applyNumberFormat="1" fontId="14" applyFont="1" fillId="0" applyFill="1" applyAlignment="1" xfId="0">
      <alignment wrapText="1" textRotation="90" vertical="center" horizontal="right"/>
    </xf>
    <xf numFmtId="0" applyNumberFormat="1" fontId="14" applyFont="1" fillId="0" applyFill="1" applyAlignment="1" xfId="0">
      <alignment wrapText="1" textRotation="90" horizontal="right"/>
    </xf>
    <xf numFmtId="0" applyNumberFormat="1" fontId="14" applyFont="1" fillId="0" applyFill="1" applyAlignment="1" xfId="0">
      <alignment wrapText="1" indent="1" vertical="top" horizontal="left"/>
    </xf>
    <xf numFmtId="0" applyNumberFormat="1" fontId="14" applyFont="1" fillId="0" applyFill="1" applyAlignment="1" xfId="0">
      <alignment wrapText="1" indent="2" vertical="top" horizontal="left"/>
    </xf>
    <xf numFmtId="0" applyNumberFormat="1" fontId="14" applyFont="1" fillId="0" applyFill="1" applyAlignment="1" xfId="0">
      <alignment wrapText="1" vertical="top" horizontal="left"/>
    </xf>
    <xf numFmtId="0" applyNumberFormat="1" fontId="14" applyFont="1" fillId="0" applyFill="1" applyAlignment="1" xfId="0">
      <alignment wrapText="1" textRotation="180" vertical="top" horizontal="left"/>
    </xf>
    <xf numFmtId="0" applyNumberFormat="1" fontId="14" applyFont="1" fillId="0" applyFill="1" applyAlignment="1" xfId="0">
      <alignment wrapText="1" textRotation="90" vertical="top" horizontal="left"/>
    </xf>
    <xf numFmtId="0" applyNumberFormat="1" fontId="0" applyFont="1" fillId="4" applyFill="1" borderId="53" applyBorder="1" xfId="0"/>
    <xf numFmtId="0" applyNumberFormat="1" fontId="0" applyFont="1" fillId="4" applyFill="1" borderId="54" applyBorder="1" xfId="0"/>
    <xf numFmtId="0" applyNumberFormat="1" fontId="0" applyFont="1" fillId="4" applyFill="1" borderId="55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H22" view="normal" zoomScaleSheetLayoutView="60">
      <selection activeCell="N61" activeCellId="0" sqref="N61"/>
    </sheetView>
  </sheetViews>
  <sheetFormatPr defaultRowHeight="15" x14ac:dyDescent="0.25" outlineLevelRow="0" outlineLevelCol="0"/>
  <cols>
    <col min="1" max="1" width="23.33203125" customWidth="1"/>
  </cols>
  <sheetData>
    <row r="1">
      <c r="A1" s="73" t="s">
        <v>0</v>
      </c>
      <c r="B1" s="34" t="s">
        <v>49</v>
      </c>
      <c r="C1" s="34"/>
      <c r="D1" s="34" t="s">
        <v>50</v>
      </c>
      <c r="E1" s="34"/>
      <c r="F1" s="74" t="s">
        <v>51</v>
      </c>
      <c r="G1" s="74"/>
      <c r="H1" s="34" t="s">
        <v>52</v>
      </c>
      <c r="I1" s="34"/>
      <c r="J1" s="34" t="s">
        <v>53</v>
      </c>
      <c r="K1" s="34"/>
      <c r="L1" s="74" t="s">
        <v>54</v>
      </c>
      <c r="M1" s="74"/>
      <c r="N1" s="74" t="s">
        <v>55</v>
      </c>
      <c r="O1" s="74"/>
      <c r="P1" s="74" t="s">
        <v>56</v>
      </c>
      <c r="Q1" s="74"/>
      <c r="R1" s="74" t="s">
        <v>57</v>
      </c>
      <c r="S1" s="74"/>
      <c r="T1" s="74" t="s">
        <v>58</v>
      </c>
      <c r="U1" s="74"/>
      <c r="V1" s="74" t="s">
        <v>59</v>
      </c>
      <c r="W1" s="75"/>
    </row>
    <row r="2">
      <c r="A2" s="76"/>
      <c r="B2" s="52" t="s">
        <v>9</v>
      </c>
      <c r="C2" s="52" t="s">
        <v>10</v>
      </c>
      <c r="D2" s="52" t="s">
        <v>9</v>
      </c>
      <c r="E2" s="52" t="s">
        <v>10</v>
      </c>
      <c r="F2" s="52" t="s">
        <v>9</v>
      </c>
      <c r="G2" s="52" t="s">
        <v>10</v>
      </c>
      <c r="H2" s="52" t="s">
        <v>9</v>
      </c>
      <c r="I2" s="52" t="s">
        <v>10</v>
      </c>
      <c r="J2" s="52" t="s">
        <v>9</v>
      </c>
      <c r="K2" s="52" t="s">
        <v>10</v>
      </c>
      <c r="L2" s="52" t="s">
        <v>9</v>
      </c>
      <c r="M2" s="52" t="s">
        <v>10</v>
      </c>
      <c r="N2" s="52" t="s">
        <v>9</v>
      </c>
      <c r="O2" s="52" t="s">
        <v>10</v>
      </c>
      <c r="P2" s="52" t="s">
        <v>9</v>
      </c>
      <c r="Q2" s="52" t="s">
        <v>10</v>
      </c>
      <c r="R2" s="52" t="s">
        <v>9</v>
      </c>
      <c r="S2" s="52" t="s">
        <v>10</v>
      </c>
      <c r="T2" s="52" t="s">
        <v>9</v>
      </c>
      <c r="U2" s="52" t="s">
        <v>10</v>
      </c>
      <c r="V2" s="52" t="s">
        <v>9</v>
      </c>
      <c r="W2" s="77" t="s">
        <v>10</v>
      </c>
    </row>
    <row r="3">
      <c r="A3" s="78" t="s">
        <v>63</v>
      </c>
      <c r="B3" s="14"/>
      <c r="C3" s="14"/>
      <c r="D3" s="53"/>
      <c r="E3" s="68" t="e">
        <f>C3/B3*D3</f>
        <v>#DIV/0!</v>
      </c>
      <c r="F3" s="14"/>
      <c r="G3" s="39" t="e">
        <f>C3/B3*F4</f>
        <v>#DIV/0!</v>
      </c>
      <c r="H3" s="53"/>
      <c r="I3" s="68" t="e">
        <f>C3/B3*H3</f>
        <v>#DIV/0!</v>
      </c>
      <c r="J3" s="14"/>
      <c r="K3" s="39" t="e">
        <f>C3/B3*J3</f>
        <v>#DIV/0!</v>
      </c>
      <c r="L3" s="53"/>
      <c r="M3" s="68" t="e">
        <f>C3/B3*L3</f>
        <v>#DIV/0!</v>
      </c>
      <c r="N3" s="14"/>
      <c r="O3" s="39" t="e">
        <f>C3/B3*N3</f>
        <v>#DIV/0!</v>
      </c>
      <c r="P3" s="53"/>
      <c r="Q3" s="68" t="e">
        <f>C3/B3*P3</f>
        <v>#DIV/0!</v>
      </c>
      <c r="R3" s="14"/>
      <c r="S3" s="39" t="e">
        <f>C3/B3*R3</f>
        <v>#DIV/0!</v>
      </c>
      <c r="T3" s="53"/>
      <c r="U3" s="68" t="e">
        <f>C3/B3*T3</f>
        <v>#DIV/0!</v>
      </c>
      <c r="V3" s="14"/>
      <c r="W3" s="40" t="e">
        <f>C3/B3*V3</f>
        <v>#DIV/0!</v>
      </c>
    </row>
    <row r="4">
      <c r="A4" s="78" t="s">
        <v>63</v>
      </c>
      <c r="B4" s="14"/>
      <c r="C4" s="14"/>
      <c r="D4" s="53"/>
      <c r="E4" s="68" t="e">
        <f>C4/B4*D4</f>
        <v>#DIV/0!</v>
      </c>
      <c r="F4" s="14"/>
      <c r="G4" s="39" t="e">
        <f>C4/B4*F5</f>
        <v>#DIV/0!</v>
      </c>
      <c r="H4" s="53"/>
      <c r="I4" s="68" t="e">
        <f>C4/B4*H4</f>
        <v>#DIV/0!</v>
      </c>
      <c r="J4" s="14"/>
      <c r="K4" s="39" t="e">
        <f>C4/B4*J4</f>
        <v>#DIV/0!</v>
      </c>
      <c r="L4" s="53"/>
      <c r="M4" s="68" t="e">
        <f>C4/B4*L4</f>
        <v>#DIV/0!</v>
      </c>
      <c r="N4" s="14"/>
      <c r="O4" s="39" t="e">
        <f>C4/B4*N4</f>
        <v>#DIV/0!</v>
      </c>
      <c r="P4" s="53"/>
      <c r="Q4" s="68" t="e">
        <f>C4/B4*P4</f>
        <v>#DIV/0!</v>
      </c>
      <c r="R4" s="14"/>
      <c r="S4" s="39" t="e">
        <f>C4/B4*R4</f>
        <v>#DIV/0!</v>
      </c>
      <c r="T4" s="53"/>
      <c r="U4" s="68" t="e">
        <f>C4/B4*T4</f>
        <v>#DIV/0!</v>
      </c>
      <c r="V4" s="14"/>
      <c r="W4" s="40" t="e">
        <f>C4/B4*V4</f>
        <v>#DIV/0!</v>
      </c>
    </row>
    <row r="5">
      <c r="A5" s="78" t="s">
        <v>63</v>
      </c>
      <c r="B5" s="14"/>
      <c r="C5" s="14"/>
      <c r="D5" s="53"/>
      <c r="E5" s="68" t="e">
        <f>C5/B5*D5</f>
        <v>#DIV/0!</v>
      </c>
      <c r="F5" s="14"/>
      <c r="G5" s="39" t="e">
        <f>C5/B5*F6</f>
        <v>#DIV/0!</v>
      </c>
      <c r="H5" s="53"/>
      <c r="I5" s="68" t="e">
        <f>C5/B5*H5</f>
        <v>#DIV/0!</v>
      </c>
      <c r="J5" s="14"/>
      <c r="K5" s="39" t="e">
        <f>C5/B5*J5</f>
        <v>#DIV/0!</v>
      </c>
      <c r="L5" s="53"/>
      <c r="M5" s="68" t="e">
        <f>C5/B5*L5</f>
        <v>#DIV/0!</v>
      </c>
      <c r="N5" s="14"/>
      <c r="O5" s="39" t="e">
        <f>C5/B5*N5</f>
        <v>#DIV/0!</v>
      </c>
      <c r="P5" s="53"/>
      <c r="Q5" s="68" t="e">
        <f>C5/B5*P5</f>
        <v>#DIV/0!</v>
      </c>
      <c r="R5" s="14"/>
      <c r="S5" s="39" t="e">
        <f>C5/B5*R5</f>
        <v>#DIV/0!</v>
      </c>
      <c r="T5" s="53"/>
      <c r="U5" s="68" t="e">
        <f>C5/B5*T5</f>
        <v>#DIV/0!</v>
      </c>
      <c r="V5" s="14"/>
      <c r="W5" s="40" t="e">
        <f>C5/B5*V5</f>
        <v>#DIV/0!</v>
      </c>
    </row>
    <row r="6">
      <c r="A6" s="78" t="s">
        <v>63</v>
      </c>
      <c r="B6" s="14"/>
      <c r="C6" s="14"/>
      <c r="D6" s="53"/>
      <c r="E6" s="68" t="e">
        <f>C6/B6*D6</f>
        <v>#DIV/0!</v>
      </c>
      <c r="F6" s="14"/>
      <c r="G6" s="39" t="e">
        <f>C6/B6*F7</f>
        <v>#DIV/0!</v>
      </c>
      <c r="H6" s="53"/>
      <c r="I6" s="68" t="e">
        <f>C6/B6*H6</f>
        <v>#DIV/0!</v>
      </c>
      <c r="J6" s="14"/>
      <c r="K6" s="39" t="e">
        <f>C6/B6*J6</f>
        <v>#DIV/0!</v>
      </c>
      <c r="L6" s="53"/>
      <c r="M6" s="68" t="e">
        <f>C6/B6*L6</f>
        <v>#DIV/0!</v>
      </c>
      <c r="N6" s="14"/>
      <c r="O6" s="39" t="e">
        <f>C6/B6*N6</f>
        <v>#DIV/0!</v>
      </c>
      <c r="P6" s="53"/>
      <c r="Q6" s="68" t="e">
        <f>C6/B6*P6</f>
        <v>#DIV/0!</v>
      </c>
      <c r="R6" s="14"/>
      <c r="S6" s="39" t="e">
        <f>C6/B6*R6</f>
        <v>#DIV/0!</v>
      </c>
      <c r="T6" s="53"/>
      <c r="U6" s="68" t="e">
        <f>C6/B6*T6</f>
        <v>#DIV/0!</v>
      </c>
      <c r="V6" s="14"/>
      <c r="W6" s="40" t="e">
        <f>C6/B6*V6</f>
        <v>#DIV/0!</v>
      </c>
    </row>
    <row r="7">
      <c r="A7" s="78" t="s">
        <v>63</v>
      </c>
      <c r="B7" s="14"/>
      <c r="C7" s="14"/>
      <c r="D7" s="53"/>
      <c r="E7" s="68" t="e">
        <f>C7/B7*D7</f>
        <v>#DIV/0!</v>
      </c>
      <c r="F7" s="14"/>
      <c r="G7" s="39" t="e">
        <f>C7/B7*F8</f>
        <v>#DIV/0!</v>
      </c>
      <c r="H7" s="53"/>
      <c r="I7" s="68" t="e">
        <f>C7/B7*H7</f>
        <v>#DIV/0!</v>
      </c>
      <c r="J7" s="14"/>
      <c r="K7" s="39" t="e">
        <f>C7/B7*J7</f>
        <v>#DIV/0!</v>
      </c>
      <c r="L7" s="53"/>
      <c r="M7" s="68" t="e">
        <f>C7/B7*L7</f>
        <v>#DIV/0!</v>
      </c>
      <c r="N7" s="14"/>
      <c r="O7" s="39" t="e">
        <f>C7/B7*N7</f>
        <v>#DIV/0!</v>
      </c>
      <c r="P7" s="53"/>
      <c r="Q7" s="68" t="e">
        <f>C7/B7*P7</f>
        <v>#DIV/0!</v>
      </c>
      <c r="R7" s="14"/>
      <c r="S7" s="39" t="e">
        <f>C7/B7*R7</f>
        <v>#DIV/0!</v>
      </c>
      <c r="T7" s="53"/>
      <c r="U7" s="68" t="e">
        <f>C7/B7*T7</f>
        <v>#DIV/0!</v>
      </c>
      <c r="V7" s="14"/>
      <c r="W7" s="40" t="e">
        <f>C7/B7*V7</f>
        <v>#DIV/0!</v>
      </c>
    </row>
    <row r="8">
      <c r="A8" s="78" t="s">
        <v>63</v>
      </c>
      <c r="B8" s="14"/>
      <c r="C8" s="14"/>
      <c r="D8" s="53"/>
      <c r="E8" s="68" t="e">
        <f>C8/B8*D8</f>
        <v>#DIV/0!</v>
      </c>
      <c r="F8" s="14"/>
      <c r="G8" s="39" t="e">
        <f>C8/B8*F9</f>
        <v>#DIV/0!</v>
      </c>
      <c r="H8" s="53"/>
      <c r="I8" s="68" t="e">
        <f>C8/B8*H8</f>
        <v>#DIV/0!</v>
      </c>
      <c r="J8" s="14"/>
      <c r="K8" s="39" t="e">
        <f>C8/B8*J8</f>
        <v>#DIV/0!</v>
      </c>
      <c r="L8" s="53"/>
      <c r="M8" s="68" t="e">
        <f>C8/B8*L8</f>
        <v>#DIV/0!</v>
      </c>
      <c r="N8" s="14"/>
      <c r="O8" s="39" t="e">
        <f>C8/B8*N8</f>
        <v>#DIV/0!</v>
      </c>
      <c r="P8" s="53"/>
      <c r="Q8" s="68" t="e">
        <f>C8/B8*P8</f>
        <v>#DIV/0!</v>
      </c>
      <c r="R8" s="14"/>
      <c r="S8" s="39" t="e">
        <f>C8/B8*R8</f>
        <v>#DIV/0!</v>
      </c>
      <c r="T8" s="53"/>
      <c r="U8" s="68" t="e">
        <f>C8/B8*T8</f>
        <v>#DIV/0!</v>
      </c>
      <c r="V8" s="14"/>
      <c r="W8" s="40" t="e">
        <f>C8/B8*V8</f>
        <v>#DIV/0!</v>
      </c>
    </row>
    <row r="9">
      <c r="A9" s="78" t="s">
        <v>63</v>
      </c>
      <c r="B9" s="14"/>
      <c r="C9" s="14"/>
      <c r="D9" s="53"/>
      <c r="E9" s="68" t="e">
        <f>C9/B9*D9</f>
        <v>#DIV/0!</v>
      </c>
      <c r="F9" s="14"/>
      <c r="G9" s="39" t="e">
        <f>C9/B9*F10</f>
        <v>#DIV/0!</v>
      </c>
      <c r="H9" s="53"/>
      <c r="I9" s="68" t="e">
        <f>C9/B9*H9</f>
        <v>#DIV/0!</v>
      </c>
      <c r="J9" s="14"/>
      <c r="K9" s="39" t="e">
        <f>C9/B9*J9</f>
        <v>#DIV/0!</v>
      </c>
      <c r="L9" s="53"/>
      <c r="M9" s="68" t="e">
        <f>C9/B9*L9</f>
        <v>#DIV/0!</v>
      </c>
      <c r="N9" s="14"/>
      <c r="O9" s="39" t="e">
        <f>C9/B9*N9</f>
        <v>#DIV/0!</v>
      </c>
      <c r="P9" s="53"/>
      <c r="Q9" s="68" t="e">
        <f>C9/B9*P9</f>
        <v>#DIV/0!</v>
      </c>
      <c r="R9" s="14"/>
      <c r="S9" s="39" t="e">
        <f>C9/B9*R9</f>
        <v>#DIV/0!</v>
      </c>
      <c r="T9" s="53"/>
      <c r="U9" s="68" t="e">
        <f>C9/B9*T9</f>
        <v>#DIV/0!</v>
      </c>
      <c r="V9" s="14"/>
      <c r="W9" s="40" t="e">
        <f>C9/B9*V9</f>
        <v>#DIV/0!</v>
      </c>
    </row>
    <row r="10">
      <c r="A10" s="78" t="s">
        <v>63</v>
      </c>
      <c r="B10" s="14"/>
      <c r="C10" s="14"/>
      <c r="D10" s="53"/>
      <c r="E10" s="68" t="e">
        <f>C10/B10*D10</f>
        <v>#DIV/0!</v>
      </c>
      <c r="F10" s="14"/>
      <c r="G10" s="39" t="e">
        <f>C10/B10*F11</f>
        <v>#DIV/0!</v>
      </c>
      <c r="H10" s="53"/>
      <c r="I10" s="68" t="e">
        <f>C10/B10*H10</f>
        <v>#DIV/0!</v>
      </c>
      <c r="J10" s="14"/>
      <c r="K10" s="39" t="e">
        <f>C10/B10*J10</f>
        <v>#DIV/0!</v>
      </c>
      <c r="L10" s="53"/>
      <c r="M10" s="68" t="e">
        <f>C10/B10*L10</f>
        <v>#DIV/0!</v>
      </c>
      <c r="N10" s="14"/>
      <c r="O10" s="39" t="e">
        <f>C10/B10*N10</f>
        <v>#DIV/0!</v>
      </c>
      <c r="P10" s="53"/>
      <c r="Q10" s="68" t="e">
        <f>C10/B10*P10</f>
        <v>#DIV/0!</v>
      </c>
      <c r="R10" s="14"/>
      <c r="S10" s="39" t="e">
        <f>C10/B10*R10</f>
        <v>#DIV/0!</v>
      </c>
      <c r="T10" s="53"/>
      <c r="U10" s="68" t="e">
        <f>C10/B10*T10</f>
        <v>#DIV/0!</v>
      </c>
      <c r="V10" s="14"/>
      <c r="W10" s="40" t="e">
        <f>C10/B10*V10</f>
        <v>#DIV/0!</v>
      </c>
      <c r="Z10"/>
    </row>
    <row r="11">
      <c r="A11" s="78" t="s">
        <v>63</v>
      </c>
      <c r="B11" s="14"/>
      <c r="C11" s="14"/>
      <c r="D11" s="53"/>
      <c r="E11" s="68" t="e">
        <f>C11/B11*D11</f>
        <v>#DIV/0!</v>
      </c>
      <c r="F11" s="14"/>
      <c r="G11" s="39" t="e">
        <f>C11/B11*F12</f>
        <v>#DIV/0!</v>
      </c>
      <c r="H11" s="53"/>
      <c r="I11" s="68" t="e">
        <f>C11/B11*H11</f>
        <v>#DIV/0!</v>
      </c>
      <c r="J11" s="14"/>
      <c r="K11" s="39" t="e">
        <f>C11/B11*J11</f>
        <v>#DIV/0!</v>
      </c>
      <c r="L11" s="53"/>
      <c r="M11" s="68" t="e">
        <f>C11/B11*L11</f>
        <v>#DIV/0!</v>
      </c>
      <c r="N11" s="14"/>
      <c r="O11" s="39" t="e">
        <f>C11/B11*N11</f>
        <v>#DIV/0!</v>
      </c>
      <c r="P11" s="53"/>
      <c r="Q11" s="68" t="e">
        <f>C11/B11*P11</f>
        <v>#DIV/0!</v>
      </c>
      <c r="R11" s="14"/>
      <c r="S11" s="39" t="e">
        <f>C11/B11*R11</f>
        <v>#DIV/0!</v>
      </c>
      <c r="T11" s="53"/>
      <c r="U11" s="68" t="e">
        <f>C11/B11*T11</f>
        <v>#DIV/0!</v>
      </c>
      <c r="V11" s="14"/>
      <c r="W11" s="40" t="e">
        <f>C11/B11*V11</f>
        <v>#DIV/0!</v>
      </c>
    </row>
    <row r="12">
      <c r="A12" s="78" t="s">
        <v>63</v>
      </c>
      <c r="B12" s="14"/>
      <c r="C12" s="14"/>
      <c r="D12" s="53"/>
      <c r="E12" s="68" t="e">
        <f>C12/B12*D12</f>
        <v>#DIV/0!</v>
      </c>
      <c r="F12" s="14"/>
      <c r="G12" s="39" t="e">
        <f>C12/B12*F13</f>
        <v>#DIV/0!</v>
      </c>
      <c r="H12" s="53"/>
      <c r="I12" s="68" t="e">
        <f>C12/B12*H12</f>
        <v>#DIV/0!</v>
      </c>
      <c r="J12" s="14"/>
      <c r="K12" s="39" t="e">
        <f>C12/B12*J12</f>
        <v>#DIV/0!</v>
      </c>
      <c r="L12" s="53"/>
      <c r="M12" s="68" t="e">
        <f>C12/B12*L12</f>
        <v>#DIV/0!</v>
      </c>
      <c r="N12" s="14"/>
      <c r="O12" s="39" t="e">
        <f>C12/B12*N12</f>
        <v>#DIV/0!</v>
      </c>
      <c r="P12" s="53"/>
      <c r="Q12" s="68" t="e">
        <f>C12/B12*P12</f>
        <v>#DIV/0!</v>
      </c>
      <c r="R12" s="14"/>
      <c r="S12" s="39" t="e">
        <f>C12/B12*R12</f>
        <v>#DIV/0!</v>
      </c>
      <c r="T12" s="53"/>
      <c r="U12" s="68" t="e">
        <f>C12/B12*T12</f>
        <v>#DIV/0!</v>
      </c>
      <c r="V12" s="14"/>
      <c r="W12" s="40" t="e">
        <f>C12/B12*V12</f>
        <v>#DIV/0!</v>
      </c>
    </row>
    <row r="13">
      <c r="A13" s="78" t="s">
        <v>63</v>
      </c>
      <c r="B13" s="14"/>
      <c r="C13" s="14"/>
      <c r="D13" s="53"/>
      <c r="E13" s="68" t="e">
        <f>C13/B13*D13</f>
        <v>#DIV/0!</v>
      </c>
      <c r="F13" s="14"/>
      <c r="G13" s="39" t="e">
        <f>C13/B13*F14</f>
        <v>#DIV/0!</v>
      </c>
      <c r="H13" s="53"/>
      <c r="I13" s="68" t="e">
        <f>C13/B13*H13</f>
        <v>#DIV/0!</v>
      </c>
      <c r="J13" s="14"/>
      <c r="K13" s="39" t="e">
        <f>C13/B13*J13</f>
        <v>#DIV/0!</v>
      </c>
      <c r="L13" s="53"/>
      <c r="M13" s="68" t="e">
        <f>C13/B13*L13</f>
        <v>#DIV/0!</v>
      </c>
      <c r="N13" s="14"/>
      <c r="O13" s="39" t="e">
        <f>C13/B13*N13</f>
        <v>#DIV/0!</v>
      </c>
      <c r="P13" s="53"/>
      <c r="Q13" s="68" t="e">
        <f>C13/B13*P13</f>
        <v>#DIV/0!</v>
      </c>
      <c r="R13" s="14"/>
      <c r="S13" s="39" t="e">
        <f>C13/B13*R13</f>
        <v>#DIV/0!</v>
      </c>
      <c r="T13" s="53"/>
      <c r="U13" s="68" t="e">
        <f>C13/B13*T13</f>
        <v>#DIV/0!</v>
      </c>
      <c r="V13" s="14"/>
      <c r="W13" s="40" t="e">
        <f>C13/B13*V13</f>
        <v>#DIV/0!</v>
      </c>
    </row>
    <row r="14">
      <c r="A14" s="78" t="s">
        <v>63</v>
      </c>
      <c r="B14" s="14"/>
      <c r="C14" s="14"/>
      <c r="D14" s="53"/>
      <c r="E14" s="68" t="e">
        <f>C14/B14*D14</f>
        <v>#DIV/0!</v>
      </c>
      <c r="F14" s="14"/>
      <c r="G14" s="39" t="e">
        <f>C14/B14*F15</f>
        <v>#DIV/0!</v>
      </c>
      <c r="H14" s="53"/>
      <c r="I14" s="68" t="e">
        <f>C14/B14*H14</f>
        <v>#DIV/0!</v>
      </c>
      <c r="J14" s="14"/>
      <c r="K14" s="39" t="e">
        <f>C14/B14*J14</f>
        <v>#DIV/0!</v>
      </c>
      <c r="L14" s="53"/>
      <c r="M14" s="68" t="e">
        <f>C14/B14*L14</f>
        <v>#DIV/0!</v>
      </c>
      <c r="N14" s="14"/>
      <c r="O14" s="39" t="e">
        <f>C14/B14*N14</f>
        <v>#DIV/0!</v>
      </c>
      <c r="P14" s="53"/>
      <c r="Q14" s="68" t="e">
        <f>C14/B14*P14</f>
        <v>#DIV/0!</v>
      </c>
      <c r="R14" s="14"/>
      <c r="S14" s="39" t="e">
        <f>C14/B14*R14</f>
        <v>#DIV/0!</v>
      </c>
      <c r="T14" s="53"/>
      <c r="U14" s="68" t="e">
        <f>C14/B14*T14</f>
        <v>#DIV/0!</v>
      </c>
      <c r="V14" s="14"/>
      <c r="W14" s="40" t="e">
        <f>C14/B14*V14</f>
        <v>#DIV/0!</v>
      </c>
    </row>
    <row r="15">
      <c r="A15" s="78" t="s">
        <v>63</v>
      </c>
      <c r="B15" s="14"/>
      <c r="C15" s="14"/>
      <c r="D15" s="53"/>
      <c r="E15" s="68" t="e">
        <f>C15/B15*D15</f>
        <v>#DIV/0!</v>
      </c>
      <c r="F15" s="14"/>
      <c r="G15" s="39" t="e">
        <f>C15/B15*F16</f>
        <v>#DIV/0!</v>
      </c>
      <c r="H15" s="53"/>
      <c r="I15" s="68" t="e">
        <f>C15/B15*H15</f>
        <v>#DIV/0!</v>
      </c>
      <c r="J15" s="14"/>
      <c r="K15" s="39" t="e">
        <f>C15/B15*J15</f>
        <v>#DIV/0!</v>
      </c>
      <c r="L15" s="53"/>
      <c r="M15" s="68" t="e">
        <f>C15/B15*L15</f>
        <v>#DIV/0!</v>
      </c>
      <c r="N15" s="14"/>
      <c r="O15" s="39" t="e">
        <f>C15/B15*N15</f>
        <v>#DIV/0!</v>
      </c>
      <c r="P15" s="53"/>
      <c r="Q15" s="68" t="e">
        <f>C15/B15*P15</f>
        <v>#DIV/0!</v>
      </c>
      <c r="R15" s="14"/>
      <c r="S15" s="39" t="e">
        <f>C15/B15*R15</f>
        <v>#DIV/0!</v>
      </c>
      <c r="T15" s="53"/>
      <c r="U15" s="68" t="e">
        <f>C15/B15*T15</f>
        <v>#DIV/0!</v>
      </c>
      <c r="V15" s="14"/>
      <c r="W15" s="40" t="e">
        <f>C15/B15*V15</f>
        <v>#DIV/0!</v>
      </c>
    </row>
    <row r="16">
      <c r="A16" s="78" t="s">
        <v>63</v>
      </c>
      <c r="B16" s="14"/>
      <c r="C16" s="14"/>
      <c r="D16" s="53"/>
      <c r="E16" s="68" t="e">
        <f>C16/B16*D16</f>
        <v>#DIV/0!</v>
      </c>
      <c r="F16" s="14"/>
      <c r="G16" s="39" t="e">
        <f>C16/B16*F17</f>
        <v>#DIV/0!</v>
      </c>
      <c r="H16" s="53"/>
      <c r="I16" s="68" t="e">
        <f>C16/B16*H16</f>
        <v>#DIV/0!</v>
      </c>
      <c r="J16" s="14"/>
      <c r="K16" s="39" t="e">
        <f>C16/B16*J16</f>
        <v>#DIV/0!</v>
      </c>
      <c r="L16" s="53"/>
      <c r="M16" s="68" t="e">
        <f>C16/B16*L16</f>
        <v>#DIV/0!</v>
      </c>
      <c r="N16" s="14"/>
      <c r="O16" s="39" t="e">
        <f>C16/B16*N16</f>
        <v>#DIV/0!</v>
      </c>
      <c r="P16" s="53"/>
      <c r="Q16" s="68" t="e">
        <f>C16/B16*P16</f>
        <v>#DIV/0!</v>
      </c>
      <c r="R16" s="14"/>
      <c r="S16" s="39" t="e">
        <f>C16/B16*R16</f>
        <v>#DIV/0!</v>
      </c>
      <c r="T16" s="53"/>
      <c r="U16" s="68" t="e">
        <f>C16/B16*T16</f>
        <v>#DIV/0!</v>
      </c>
      <c r="V16" s="14"/>
      <c r="W16" s="40" t="e">
        <f>C16/B16*V16</f>
        <v>#DIV/0!</v>
      </c>
    </row>
    <row r="17">
      <c r="A17" s="78" t="s">
        <v>63</v>
      </c>
      <c r="B17" s="14"/>
      <c r="C17" s="14"/>
      <c r="D17" s="53"/>
      <c r="E17" s="68" t="e">
        <f>C17/B17*D17</f>
        <v>#DIV/0!</v>
      </c>
      <c r="F17" s="14"/>
      <c r="G17" s="39" t="e">
        <f>C17/B17*F18</f>
        <v>#DIV/0!</v>
      </c>
      <c r="H17" s="53"/>
      <c r="I17" s="68" t="e">
        <f>C17/B17*H17</f>
        <v>#DIV/0!</v>
      </c>
      <c r="J17" s="14"/>
      <c r="K17" s="39" t="e">
        <f>C17/B17*J17</f>
        <v>#DIV/0!</v>
      </c>
      <c r="L17" s="53"/>
      <c r="M17" s="68" t="e">
        <f>C17/B17*L17</f>
        <v>#DIV/0!</v>
      </c>
      <c r="N17" s="14"/>
      <c r="O17" s="39" t="e">
        <f>C17/B17*N17</f>
        <v>#DIV/0!</v>
      </c>
      <c r="P17" s="53"/>
      <c r="Q17" s="68" t="e">
        <f>C17/B17*P17</f>
        <v>#DIV/0!</v>
      </c>
      <c r="R17" s="14"/>
      <c r="S17" s="39" t="e">
        <f>C17/B17*R17</f>
        <v>#DIV/0!</v>
      </c>
      <c r="T17" s="53"/>
      <c r="U17" s="68" t="e">
        <f>C17/B17*T17</f>
        <v>#DIV/0!</v>
      </c>
      <c r="V17" s="14"/>
      <c r="W17" s="40" t="e">
        <f>C17/B17*V17</f>
        <v>#DIV/0!</v>
      </c>
    </row>
    <row r="18">
      <c r="A18" s="78" t="s">
        <v>63</v>
      </c>
      <c r="B18" s="14"/>
      <c r="C18" s="14"/>
      <c r="D18" s="53"/>
      <c r="E18" s="68" t="e">
        <f>C18/B18*D18</f>
        <v>#DIV/0!</v>
      </c>
      <c r="F18" s="14"/>
      <c r="G18" s="39" t="e">
        <f>C18/B18*F19</f>
        <v>#DIV/0!</v>
      </c>
      <c r="H18" s="53"/>
      <c r="I18" s="68" t="e">
        <f>C18/B18*H18</f>
        <v>#DIV/0!</v>
      </c>
      <c r="J18" s="14"/>
      <c r="K18" s="39" t="e">
        <f>C18/B18*J18</f>
        <v>#DIV/0!</v>
      </c>
      <c r="L18" s="53"/>
      <c r="M18" s="68" t="e">
        <f>C18/B18*L18</f>
        <v>#DIV/0!</v>
      </c>
      <c r="N18" s="14"/>
      <c r="O18" s="39" t="e">
        <f>C18/B18*N18</f>
        <v>#DIV/0!</v>
      </c>
      <c r="P18" s="53"/>
      <c r="Q18" s="68" t="e">
        <f>C18/B18*P18</f>
        <v>#DIV/0!</v>
      </c>
      <c r="R18" s="14"/>
      <c r="S18" s="39" t="e">
        <f>C18/B18*R18</f>
        <v>#DIV/0!</v>
      </c>
      <c r="T18" s="53"/>
      <c r="U18" s="68" t="e">
        <f>C18/B18*T18</f>
        <v>#DIV/0!</v>
      </c>
      <c r="V18" s="14"/>
      <c r="W18" s="40" t="e">
        <f>C18/B18*V18</f>
        <v>#DIV/0!</v>
      </c>
    </row>
    <row r="19">
      <c r="A19" s="78" t="s">
        <v>63</v>
      </c>
      <c r="B19" s="14"/>
      <c r="C19" s="14"/>
      <c r="D19" s="53"/>
      <c r="E19" s="68" t="e">
        <f>C19/B19*D19</f>
        <v>#DIV/0!</v>
      </c>
      <c r="F19" s="14"/>
      <c r="G19" s="39" t="e">
        <f>C19/B19*F20</f>
        <v>#DIV/0!</v>
      </c>
      <c r="H19" s="53"/>
      <c r="I19" s="68" t="e">
        <f>C19/B19*H19</f>
        <v>#DIV/0!</v>
      </c>
      <c r="J19" s="14"/>
      <c r="K19" s="39" t="e">
        <f>C19/B19*J19</f>
        <v>#DIV/0!</v>
      </c>
      <c r="L19" s="53"/>
      <c r="M19" s="68" t="e">
        <f>C19/B19*L19</f>
        <v>#DIV/0!</v>
      </c>
      <c r="N19" s="14"/>
      <c r="O19" s="39" t="e">
        <f>C19/B19*N19</f>
        <v>#DIV/0!</v>
      </c>
      <c r="P19" s="53"/>
      <c r="Q19" s="68" t="e">
        <f>C19/B19*P19</f>
        <v>#DIV/0!</v>
      </c>
      <c r="R19" s="14"/>
      <c r="S19" s="39" t="e">
        <f>C19/B19*R19</f>
        <v>#DIV/0!</v>
      </c>
      <c r="T19" s="53"/>
      <c r="U19" s="68" t="e">
        <f>C19/B19*T19</f>
        <v>#DIV/0!</v>
      </c>
      <c r="V19" s="14"/>
      <c r="W19" s="40" t="e">
        <f>C19/B19*V19</f>
        <v>#DIV/0!</v>
      </c>
    </row>
    <row r="20">
      <c r="A20" s="78" t="s">
        <v>63</v>
      </c>
      <c r="B20" s="14"/>
      <c r="C20" s="14"/>
      <c r="D20" s="53"/>
      <c r="E20" s="68" t="e">
        <f>C20/B20*D20</f>
        <v>#DIV/0!</v>
      </c>
      <c r="F20" s="14"/>
      <c r="G20" s="39" t="e">
        <f>C20/B20*F21</f>
        <v>#DIV/0!</v>
      </c>
      <c r="H20" s="53"/>
      <c r="I20" s="68" t="e">
        <f>C20/B20*H20</f>
        <v>#DIV/0!</v>
      </c>
      <c r="J20" s="14"/>
      <c r="K20" s="39" t="e">
        <f>C20/B20*J20</f>
        <v>#DIV/0!</v>
      </c>
      <c r="L20" s="53"/>
      <c r="M20" s="68" t="e">
        <f>C20/B20*L20</f>
        <v>#DIV/0!</v>
      </c>
      <c r="N20" s="14"/>
      <c r="O20" s="39" t="e">
        <f>C20/B20*N20</f>
        <v>#DIV/0!</v>
      </c>
      <c r="P20" s="53"/>
      <c r="Q20" s="68" t="e">
        <f>C20/B20*P20</f>
        <v>#DIV/0!</v>
      </c>
      <c r="R20" s="14"/>
      <c r="S20" s="39" t="e">
        <f>C20/B20*R20</f>
        <v>#DIV/0!</v>
      </c>
      <c r="T20" s="53"/>
      <c r="U20" s="68" t="e">
        <f>C20/B20*T20</f>
        <v>#DIV/0!</v>
      </c>
      <c r="V20" s="14"/>
      <c r="W20" s="40" t="e">
        <f>C20/B20*V20</f>
        <v>#DIV/0!</v>
      </c>
    </row>
    <row r="21">
      <c r="A21" s="78" t="s">
        <v>63</v>
      </c>
      <c r="B21" s="14"/>
      <c r="C21" s="14"/>
      <c r="D21" s="53"/>
      <c r="E21" s="68" t="e">
        <f>C21/B21*D21</f>
        <v>#DIV/0!</v>
      </c>
      <c r="F21" s="14"/>
      <c r="G21" s="39" t="e">
        <f>C21/B21*F22</f>
        <v>#DIV/0!</v>
      </c>
      <c r="H21" s="53"/>
      <c r="I21" s="68" t="e">
        <f>C21/B21*H21</f>
        <v>#DIV/0!</v>
      </c>
      <c r="J21" s="14"/>
      <c r="K21" s="39" t="e">
        <f>C21/B21*J21</f>
        <v>#DIV/0!</v>
      </c>
      <c r="L21" s="53"/>
      <c r="M21" s="68" t="e">
        <f>C21/B21*L21</f>
        <v>#DIV/0!</v>
      </c>
      <c r="N21" s="14"/>
      <c r="O21" s="39" t="e">
        <f>C21/B21*N21</f>
        <v>#DIV/0!</v>
      </c>
      <c r="P21" s="53"/>
      <c r="Q21" s="68" t="e">
        <f>C21/B21*P21</f>
        <v>#DIV/0!</v>
      </c>
      <c r="R21" s="14"/>
      <c r="S21" s="39" t="e">
        <f>C21/B21*R21</f>
        <v>#DIV/0!</v>
      </c>
      <c r="T21" s="53"/>
      <c r="U21" s="68" t="e">
        <f>C21/B21*T21</f>
        <v>#DIV/0!</v>
      </c>
      <c r="V21" s="14"/>
      <c r="W21" s="40" t="e">
        <f>C21/B21*V21</f>
        <v>#DIV/0!</v>
      </c>
    </row>
    <row r="22">
      <c r="A22" s="78" t="s">
        <v>63</v>
      </c>
      <c r="B22" s="14"/>
      <c r="C22" s="14"/>
      <c r="D22" s="53"/>
      <c r="E22" s="68" t="e">
        <f>C22/B22*D22</f>
        <v>#DIV/0!</v>
      </c>
      <c r="F22" s="14"/>
      <c r="G22" s="39" t="e">
        <f>C22/B22*F23</f>
        <v>#DIV/0!</v>
      </c>
      <c r="H22" s="53"/>
      <c r="I22" s="68" t="e">
        <f>C22/B22*H22</f>
        <v>#DIV/0!</v>
      </c>
      <c r="J22" s="14"/>
      <c r="K22" s="39" t="e">
        <f>C22/B22*J22</f>
        <v>#DIV/0!</v>
      </c>
      <c r="L22" s="53"/>
      <c r="M22" s="68" t="e">
        <f>C22/B22*L22</f>
        <v>#DIV/0!</v>
      </c>
      <c r="N22" s="14"/>
      <c r="O22" s="39" t="e">
        <f>C22/B22*N22</f>
        <v>#DIV/0!</v>
      </c>
      <c r="P22" s="53"/>
      <c r="Q22" s="68" t="e">
        <f>C22/B22*P22</f>
        <v>#DIV/0!</v>
      </c>
      <c r="R22" s="14"/>
      <c r="S22" s="39" t="e">
        <f>C22/B22*R22</f>
        <v>#DIV/0!</v>
      </c>
      <c r="T22" s="53"/>
      <c r="U22" s="68" t="e">
        <f>C22/B22*T22</f>
        <v>#DIV/0!</v>
      </c>
      <c r="V22" s="14"/>
      <c r="W22" s="40" t="e">
        <f>C22/B22*V22</f>
        <v>#DIV/0!</v>
      </c>
    </row>
    <row r="23">
      <c r="A23" s="78" t="s">
        <v>63</v>
      </c>
      <c r="B23" s="14"/>
      <c r="C23" s="14"/>
      <c r="D23" s="53"/>
      <c r="E23" s="68" t="e">
        <f>C23/B23*D23</f>
        <v>#DIV/0!</v>
      </c>
      <c r="F23" s="14"/>
      <c r="G23" s="39" t="e">
        <f>C23/B23*F24</f>
        <v>#DIV/0!</v>
      </c>
      <c r="H23" s="53"/>
      <c r="I23" s="68" t="e">
        <f>C23/B23*H23</f>
        <v>#DIV/0!</v>
      </c>
      <c r="J23" s="14"/>
      <c r="K23" s="39" t="e">
        <f>C23/B23*J23</f>
        <v>#DIV/0!</v>
      </c>
      <c r="L23" s="53"/>
      <c r="M23" s="68" t="e">
        <f>C23/B23*L23</f>
        <v>#DIV/0!</v>
      </c>
      <c r="N23" s="14"/>
      <c r="O23" s="39" t="e">
        <f>C23/B23*N23</f>
        <v>#DIV/0!</v>
      </c>
      <c r="P23" s="53"/>
      <c r="Q23" s="68" t="e">
        <f>C23/B23*P23</f>
        <v>#DIV/0!</v>
      </c>
      <c r="R23" s="14"/>
      <c r="S23" s="39" t="e">
        <f>C23/B23*R23</f>
        <v>#DIV/0!</v>
      </c>
      <c r="T23" s="53"/>
      <c r="U23" s="68" t="e">
        <f>C23/B23*T23</f>
        <v>#DIV/0!</v>
      </c>
      <c r="V23" s="14"/>
      <c r="W23" s="40" t="e">
        <f>C23/B23*V23</f>
        <v>#DIV/0!</v>
      </c>
    </row>
    <row r="24">
      <c r="A24" s="78" t="s">
        <v>63</v>
      </c>
      <c r="B24" s="14"/>
      <c r="C24" s="14"/>
      <c r="D24" s="53"/>
      <c r="E24" s="68" t="e">
        <f>C24/B24*D24</f>
        <v>#DIV/0!</v>
      </c>
      <c r="F24" s="14"/>
      <c r="G24" s="39" t="e">
        <f>C24/B24*F25</f>
        <v>#DIV/0!</v>
      </c>
      <c r="H24" s="53"/>
      <c r="I24" s="68" t="e">
        <f>C24/B24*H24</f>
        <v>#DIV/0!</v>
      </c>
      <c r="J24" s="14"/>
      <c r="K24" s="39" t="e">
        <f>C24/B24*J24</f>
        <v>#DIV/0!</v>
      </c>
      <c r="L24" s="53"/>
      <c r="M24" s="68" t="e">
        <f>C24/B24*L24</f>
        <v>#DIV/0!</v>
      </c>
      <c r="N24" s="14"/>
      <c r="O24" s="39" t="e">
        <f>C24/B24*N24</f>
        <v>#DIV/0!</v>
      </c>
      <c r="P24" s="53"/>
      <c r="Q24" s="68" t="e">
        <f>C24/B24*P24</f>
        <v>#DIV/0!</v>
      </c>
      <c r="R24" s="14"/>
      <c r="S24" s="39" t="e">
        <f>C24/B24*R24</f>
        <v>#DIV/0!</v>
      </c>
      <c r="T24" s="53"/>
      <c r="U24" s="68" t="e">
        <f>C24/B24*T24</f>
        <v>#DIV/0!</v>
      </c>
      <c r="V24" s="14"/>
      <c r="W24" s="40" t="e">
        <f>C24/B24*V24</f>
        <v>#DIV/0!</v>
      </c>
    </row>
    <row r="25">
      <c r="A25" s="78" t="s">
        <v>63</v>
      </c>
      <c r="B25" s="14"/>
      <c r="C25" s="14"/>
      <c r="D25" s="53"/>
      <c r="E25" s="68" t="e">
        <f>C25/B25*D25</f>
        <v>#DIV/0!</v>
      </c>
      <c r="F25" s="14"/>
      <c r="G25" s="39" t="e">
        <f>C25/B25*F26</f>
        <v>#DIV/0!</v>
      </c>
      <c r="H25" s="53"/>
      <c r="I25" s="68" t="e">
        <f>C25/B25*H25</f>
        <v>#DIV/0!</v>
      </c>
      <c r="J25" s="14"/>
      <c r="K25" s="39" t="e">
        <f>C25/B25*J25</f>
        <v>#DIV/0!</v>
      </c>
      <c r="L25" s="53"/>
      <c r="M25" s="68" t="e">
        <f>C25/B25*L25</f>
        <v>#DIV/0!</v>
      </c>
      <c r="N25" s="14"/>
      <c r="O25" s="39" t="e">
        <f>C25/B25*N25</f>
        <v>#DIV/0!</v>
      </c>
      <c r="P25" s="53"/>
      <c r="Q25" s="68" t="e">
        <f>C25/B25*P25</f>
        <v>#DIV/0!</v>
      </c>
      <c r="R25" s="14"/>
      <c r="S25" s="39" t="e">
        <f>C25/B25*R25</f>
        <v>#DIV/0!</v>
      </c>
      <c r="T25" s="53"/>
      <c r="U25" s="68" t="e">
        <f>C25/B25*T25</f>
        <v>#DIV/0!</v>
      </c>
      <c r="V25" s="14"/>
      <c r="W25" s="40" t="e">
        <f>C25/B25*V25</f>
        <v>#DIV/0!</v>
      </c>
    </row>
    <row r="26">
      <c r="A26" s="78" t="s">
        <v>63</v>
      </c>
      <c r="B26" s="14"/>
      <c r="C26" s="14"/>
      <c r="D26" s="53"/>
      <c r="E26" s="68" t="e">
        <f>C26/B26*D26</f>
        <v>#DIV/0!</v>
      </c>
      <c r="F26" s="14"/>
      <c r="G26" s="39" t="e">
        <f>C26/B26*F27</f>
        <v>#DIV/0!</v>
      </c>
      <c r="H26" s="53"/>
      <c r="I26" s="68" t="e">
        <f>C26/B26*H26</f>
        <v>#DIV/0!</v>
      </c>
      <c r="J26" s="14"/>
      <c r="K26" s="39" t="e">
        <f>C26/B26*J26</f>
        <v>#DIV/0!</v>
      </c>
      <c r="L26" s="53"/>
      <c r="M26" s="68" t="e">
        <f>C26/B26*L26</f>
        <v>#DIV/0!</v>
      </c>
      <c r="N26" s="14"/>
      <c r="O26" s="39" t="e">
        <f>C26/B26*N26</f>
        <v>#DIV/0!</v>
      </c>
      <c r="P26" s="53"/>
      <c r="Q26" s="68" t="e">
        <f>C26/B26*P26</f>
        <v>#DIV/0!</v>
      </c>
      <c r="R26" s="14"/>
      <c r="S26" s="39" t="e">
        <f>C26/B26*R26</f>
        <v>#DIV/0!</v>
      </c>
      <c r="T26" s="53"/>
      <c r="U26" s="68" t="e">
        <f>C26/B26*T26</f>
        <v>#DIV/0!</v>
      </c>
      <c r="V26" s="14"/>
      <c r="W26" s="40" t="e">
        <f>C26/B26*V26</f>
        <v>#DIV/0!</v>
      </c>
    </row>
    <row r="27">
      <c r="A27" s="78" t="s">
        <v>63</v>
      </c>
      <c r="B27" s="14"/>
      <c r="C27" s="14"/>
      <c r="D27" s="53"/>
      <c r="E27" s="68" t="e">
        <f>C27/B27*D27</f>
        <v>#DIV/0!</v>
      </c>
      <c r="F27" s="14"/>
      <c r="G27" s="39" t="e">
        <f>C27/B27*F28</f>
        <v>#DIV/0!</v>
      </c>
      <c r="H27" s="53"/>
      <c r="I27" s="68" t="e">
        <f>C27/B27*H27</f>
        <v>#DIV/0!</v>
      </c>
      <c r="J27" s="14"/>
      <c r="K27" s="39" t="e">
        <f>C27/B27*J27</f>
        <v>#DIV/0!</v>
      </c>
      <c r="L27" s="53"/>
      <c r="M27" s="68" t="e">
        <f>C27/B27*L27</f>
        <v>#DIV/0!</v>
      </c>
      <c r="N27" s="14"/>
      <c r="O27" s="39" t="e">
        <f>C27/B27*N27</f>
        <v>#DIV/0!</v>
      </c>
      <c r="P27" s="53"/>
      <c r="Q27" s="68" t="e">
        <f>C27/B27*P27</f>
        <v>#DIV/0!</v>
      </c>
      <c r="R27" s="14"/>
      <c r="S27" s="39" t="e">
        <f>C27/B27*R27</f>
        <v>#DIV/0!</v>
      </c>
      <c r="T27" s="53"/>
      <c r="U27" s="68" t="e">
        <f>C27/B27*T27</f>
        <v>#DIV/0!</v>
      </c>
      <c r="V27" s="14"/>
      <c r="W27" s="40" t="e">
        <f>C27/B27*V27</f>
        <v>#DIV/0!</v>
      </c>
    </row>
    <row r="28">
      <c r="A28" s="78" t="s">
        <v>63</v>
      </c>
      <c r="B28" s="14"/>
      <c r="C28" s="14"/>
      <c r="D28" s="53"/>
      <c r="E28" s="68" t="e">
        <f>C28/B28*D28</f>
        <v>#DIV/0!</v>
      </c>
      <c r="F28" s="14"/>
      <c r="G28" s="39" t="e">
        <f>C28/B28*F29</f>
        <v>#DIV/0!</v>
      </c>
      <c r="H28" s="53"/>
      <c r="I28" s="68" t="e">
        <f>C28/B28*H28</f>
        <v>#DIV/0!</v>
      </c>
      <c r="J28" s="14"/>
      <c r="K28" s="39" t="e">
        <f>C28/B28*J28</f>
        <v>#DIV/0!</v>
      </c>
      <c r="L28" s="53"/>
      <c r="M28" s="68" t="e">
        <f>C28/B28*L28</f>
        <v>#DIV/0!</v>
      </c>
      <c r="N28" s="14"/>
      <c r="O28" s="39" t="e">
        <f>C28/B28*N28</f>
        <v>#DIV/0!</v>
      </c>
      <c r="P28" s="53"/>
      <c r="Q28" s="68" t="e">
        <f>C28/B28*P28</f>
        <v>#DIV/0!</v>
      </c>
      <c r="R28" s="14"/>
      <c r="S28" s="39" t="e">
        <f>C28/B28*R28</f>
        <v>#DIV/0!</v>
      </c>
      <c r="T28" s="53"/>
      <c r="U28" s="68" t="e">
        <f>C28/B28*T28</f>
        <v>#DIV/0!</v>
      </c>
      <c r="V28" s="14"/>
      <c r="W28" s="40" t="e">
        <f>C28/B28*V28</f>
        <v>#DIV/0!</v>
      </c>
    </row>
    <row r="29">
      <c r="A29" s="78" t="s">
        <v>63</v>
      </c>
      <c r="B29" s="14"/>
      <c r="C29" s="14"/>
      <c r="D29" s="53"/>
      <c r="E29" s="68" t="e">
        <f>C29/B29*D29</f>
        <v>#DIV/0!</v>
      </c>
      <c r="F29" s="14"/>
      <c r="G29" s="39" t="e">
        <f>C29/B29*F30</f>
        <v>#DIV/0!</v>
      </c>
      <c r="H29" s="53"/>
      <c r="I29" s="68" t="e">
        <f>C29/B29*H29</f>
        <v>#DIV/0!</v>
      </c>
      <c r="J29" s="14"/>
      <c r="K29" s="39" t="e">
        <f>C29/B29*J29</f>
        <v>#DIV/0!</v>
      </c>
      <c r="L29" s="53"/>
      <c r="M29" s="68" t="e">
        <f>C29/B29*L29</f>
        <v>#DIV/0!</v>
      </c>
      <c r="N29" s="14"/>
      <c r="O29" s="39" t="e">
        <f>C29/B29*N29</f>
        <v>#DIV/0!</v>
      </c>
      <c r="P29" s="53"/>
      <c r="Q29" s="68" t="e">
        <f>C29/B29*P29</f>
        <v>#DIV/0!</v>
      </c>
      <c r="R29" s="14"/>
      <c r="S29" s="39" t="e">
        <f>C29/B29*R29</f>
        <v>#DIV/0!</v>
      </c>
      <c r="T29" s="53"/>
      <c r="U29" s="68" t="e">
        <f>C29/B29*T29</f>
        <v>#DIV/0!</v>
      </c>
      <c r="V29" s="14"/>
      <c r="W29" s="40" t="e">
        <f>C29/B29*V29</f>
        <v>#DIV/0!</v>
      </c>
    </row>
    <row r="30">
      <c r="A30" s="78" t="s">
        <v>63</v>
      </c>
      <c r="B30" s="14"/>
      <c r="C30" s="14"/>
      <c r="D30" s="53"/>
      <c r="E30" s="68" t="e">
        <f>C30/B30*D30</f>
        <v>#DIV/0!</v>
      </c>
      <c r="F30" s="14"/>
      <c r="G30" s="39" t="e">
        <f>C30/B30*F31</f>
        <v>#DIV/0!</v>
      </c>
      <c r="H30" s="53"/>
      <c r="I30" s="68" t="e">
        <f>C30/B30*H30</f>
        <v>#DIV/0!</v>
      </c>
      <c r="J30" s="14"/>
      <c r="K30" s="39" t="e">
        <f>C30/B30*J30</f>
        <v>#DIV/0!</v>
      </c>
      <c r="L30" s="53"/>
      <c r="M30" s="68" t="e">
        <f>C30/B30*L30</f>
        <v>#DIV/0!</v>
      </c>
      <c r="N30" s="14"/>
      <c r="O30" s="39" t="e">
        <f>C30/B30*N30</f>
        <v>#DIV/0!</v>
      </c>
      <c r="P30" s="53"/>
      <c r="Q30" s="68" t="e">
        <f>C30/B30*P30</f>
        <v>#DIV/0!</v>
      </c>
      <c r="R30" s="14"/>
      <c r="S30" s="39" t="e">
        <f>C30/B30*R30</f>
        <v>#DIV/0!</v>
      </c>
      <c r="T30" s="53"/>
      <c r="U30" s="68" t="e">
        <f>C30/B30*T30</f>
        <v>#DIV/0!</v>
      </c>
      <c r="V30" s="14"/>
      <c r="W30" s="40" t="e">
        <f>C30/B30*V30</f>
        <v>#DIV/0!</v>
      </c>
    </row>
    <row r="31">
      <c r="A31" s="78" t="s">
        <v>63</v>
      </c>
      <c r="B31" s="14"/>
      <c r="C31" s="14"/>
      <c r="D31" s="53"/>
      <c r="E31" s="68" t="e">
        <f>C31/B31*D31</f>
        <v>#DIV/0!</v>
      </c>
      <c r="F31" s="14"/>
      <c r="G31" s="39" t="e">
        <f>C31/B31*F32</f>
        <v>#DIV/0!</v>
      </c>
      <c r="H31" s="53"/>
      <c r="I31" s="68" t="e">
        <f>C31/B31*H31</f>
        <v>#DIV/0!</v>
      </c>
      <c r="J31" s="14"/>
      <c r="K31" s="39" t="e">
        <f>C31/B31*J31</f>
        <v>#DIV/0!</v>
      </c>
      <c r="L31" s="53"/>
      <c r="M31" s="68" t="e">
        <f>C31/B31*L31</f>
        <v>#DIV/0!</v>
      </c>
      <c r="N31" s="14"/>
      <c r="O31" s="39" t="e">
        <f>C31/B31*N31</f>
        <v>#DIV/0!</v>
      </c>
      <c r="P31" s="53"/>
      <c r="Q31" s="68" t="e">
        <f>C31/B31*P31</f>
        <v>#DIV/0!</v>
      </c>
      <c r="R31" s="14"/>
      <c r="S31" s="39" t="e">
        <f>C31/B31*R31</f>
        <v>#DIV/0!</v>
      </c>
      <c r="T31" s="53"/>
      <c r="U31" s="68" t="e">
        <f>C31/B31*T31</f>
        <v>#DIV/0!</v>
      </c>
      <c r="V31" s="14"/>
      <c r="W31" s="40" t="e">
        <f>C31/B31*V31</f>
        <v>#DIV/0!</v>
      </c>
    </row>
    <row r="32">
      <c r="A32" s="78" t="s">
        <v>63</v>
      </c>
      <c r="B32" s="14"/>
      <c r="C32" s="14"/>
      <c r="D32" s="53"/>
      <c r="E32" s="68" t="e">
        <f>C32/B32*D32</f>
        <v>#DIV/0!</v>
      </c>
      <c r="F32" s="14"/>
      <c r="G32" s="39" t="e">
        <f>C32/B32*F33</f>
        <v>#DIV/0!</v>
      </c>
      <c r="H32" s="53"/>
      <c r="I32" s="68" t="e">
        <f>C32/B32*H32</f>
        <v>#DIV/0!</v>
      </c>
      <c r="J32" s="14"/>
      <c r="K32" s="39" t="e">
        <f>C32/B32*J32</f>
        <v>#DIV/0!</v>
      </c>
      <c r="L32" s="53"/>
      <c r="M32" s="68" t="e">
        <f>C32/B32*L32</f>
        <v>#DIV/0!</v>
      </c>
      <c r="N32" s="14"/>
      <c r="O32" s="39" t="e">
        <f>C32/B32*N32</f>
        <v>#DIV/0!</v>
      </c>
      <c r="P32" s="53"/>
      <c r="Q32" s="68" t="e">
        <f>C32/B32*P32</f>
        <v>#DIV/0!</v>
      </c>
      <c r="R32" s="14"/>
      <c r="S32" s="39" t="e">
        <f>C32/B32*R32</f>
        <v>#DIV/0!</v>
      </c>
      <c r="T32" s="53"/>
      <c r="U32" s="68" t="e">
        <f>C32/B32*T32</f>
        <v>#DIV/0!</v>
      </c>
      <c r="V32" s="14"/>
      <c r="W32" s="40" t="e">
        <f>C32/B32*V32</f>
        <v>#DIV/0!</v>
      </c>
    </row>
    <row r="33">
      <c r="A33" s="78" t="s">
        <v>63</v>
      </c>
      <c r="B33" s="14"/>
      <c r="C33" s="14"/>
      <c r="D33" s="53"/>
      <c r="E33" s="68" t="e">
        <f>C33/B33*D33</f>
        <v>#DIV/0!</v>
      </c>
      <c r="F33" s="14"/>
      <c r="G33" s="39" t="e">
        <f>C33/B33*F34</f>
        <v>#DIV/0!</v>
      </c>
      <c r="H33" s="53"/>
      <c r="I33" s="68" t="e">
        <f>C33/B33*H33</f>
        <v>#DIV/0!</v>
      </c>
      <c r="J33" s="14"/>
      <c r="K33" s="39" t="e">
        <f>C33/B33*J33</f>
        <v>#DIV/0!</v>
      </c>
      <c r="L33" s="53"/>
      <c r="M33" s="68" t="e">
        <f>C33/B33*L33</f>
        <v>#DIV/0!</v>
      </c>
      <c r="N33" s="14"/>
      <c r="O33" s="39" t="e">
        <f>C33/B33*N33</f>
        <v>#DIV/0!</v>
      </c>
      <c r="P33" s="53"/>
      <c r="Q33" s="68" t="e">
        <f>C33/B33*P33</f>
        <v>#DIV/0!</v>
      </c>
      <c r="R33" s="14"/>
      <c r="S33" s="39" t="e">
        <f>C33/B33*R33</f>
        <v>#DIV/0!</v>
      </c>
      <c r="T33" s="53"/>
      <c r="U33" s="68" t="e">
        <f>C33/B33*T33</f>
        <v>#DIV/0!</v>
      </c>
      <c r="V33" s="14"/>
      <c r="W33" s="40" t="e">
        <f>C33/B33*V33</f>
        <v>#DIV/0!</v>
      </c>
    </row>
    <row r="34">
      <c r="A34" s="78" t="s">
        <v>63</v>
      </c>
      <c r="B34" s="14"/>
      <c r="C34" s="14"/>
      <c r="D34" s="53"/>
      <c r="E34" s="68" t="e">
        <f>C34/B34*D34</f>
        <v>#DIV/0!</v>
      </c>
      <c r="F34" s="14"/>
      <c r="G34" s="39" t="e">
        <f>C34/B34*F35</f>
        <v>#DIV/0!</v>
      </c>
      <c r="H34" s="53"/>
      <c r="I34" s="68" t="e">
        <f>C34/B34*H34</f>
        <v>#DIV/0!</v>
      </c>
      <c r="J34" s="14"/>
      <c r="K34" s="39" t="e">
        <f>C34/B34*J34</f>
        <v>#DIV/0!</v>
      </c>
      <c r="L34" s="53"/>
      <c r="M34" s="68" t="e">
        <f>C34/B34*L34</f>
        <v>#DIV/0!</v>
      </c>
      <c r="N34" s="14"/>
      <c r="O34" s="39" t="e">
        <f>C34/B34*N34</f>
        <v>#DIV/0!</v>
      </c>
      <c r="P34" s="53"/>
      <c r="Q34" s="68" t="e">
        <f>C34/B34*P34</f>
        <v>#DIV/0!</v>
      </c>
      <c r="R34" s="14"/>
      <c r="S34" s="39" t="e">
        <f>C34/B34*R34</f>
        <v>#DIV/0!</v>
      </c>
      <c r="T34" s="53"/>
      <c r="U34" s="68" t="e">
        <f>C34/B34*T34</f>
        <v>#DIV/0!</v>
      </c>
      <c r="V34" s="14"/>
      <c r="W34" s="40" t="e">
        <f>C34/B34*V34</f>
        <v>#DIV/0!</v>
      </c>
    </row>
    <row r="35">
      <c r="A35" s="78" t="s">
        <v>63</v>
      </c>
      <c r="B35" s="14"/>
      <c r="C35" s="14"/>
      <c r="D35" s="53"/>
      <c r="E35" s="68" t="e">
        <f>C35/B35*D35</f>
        <v>#DIV/0!</v>
      </c>
      <c r="F35" s="14"/>
      <c r="G35" s="39" t="e">
        <f>C35/B35*F36</f>
        <v>#DIV/0!</v>
      </c>
      <c r="H35" s="53"/>
      <c r="I35" s="68" t="e">
        <f>C35/B35*H35</f>
        <v>#DIV/0!</v>
      </c>
      <c r="J35" s="14"/>
      <c r="K35" s="39" t="e">
        <f>C35/B35*J35</f>
        <v>#DIV/0!</v>
      </c>
      <c r="L35" s="53"/>
      <c r="M35" s="68" t="e">
        <f>C35/B35*L35</f>
        <v>#DIV/0!</v>
      </c>
      <c r="N35" s="14"/>
      <c r="O35" s="39" t="e">
        <f>C35/B35*N35</f>
        <v>#DIV/0!</v>
      </c>
      <c r="P35" s="53"/>
      <c r="Q35" s="68" t="e">
        <f>C35/B35*P35</f>
        <v>#DIV/0!</v>
      </c>
      <c r="R35" s="14"/>
      <c r="S35" s="39" t="e">
        <f>C35/B35*R35</f>
        <v>#DIV/0!</v>
      </c>
      <c r="T35" s="53"/>
      <c r="U35" s="68" t="e">
        <f>C35/B35*T35</f>
        <v>#DIV/0!</v>
      </c>
      <c r="V35" s="14"/>
      <c r="W35" s="40" t="e">
        <f>C35/B35*V35</f>
        <v>#DIV/0!</v>
      </c>
    </row>
    <row r="36">
      <c r="A36" s="78" t="s">
        <v>63</v>
      </c>
      <c r="B36" s="14"/>
      <c r="C36" s="14"/>
      <c r="D36" s="53"/>
      <c r="E36" s="68" t="e">
        <f>C36/B36*D36</f>
        <v>#DIV/0!</v>
      </c>
      <c r="F36" s="14"/>
      <c r="G36" s="39" t="e">
        <f>C36/B36*F37</f>
        <v>#DIV/0!</v>
      </c>
      <c r="H36" s="53"/>
      <c r="I36" s="68" t="e">
        <f>C36/B36*H36</f>
        <v>#DIV/0!</v>
      </c>
      <c r="J36" s="14"/>
      <c r="K36" s="39" t="e">
        <f>C36/B36*J36</f>
        <v>#DIV/0!</v>
      </c>
      <c r="L36" s="53"/>
      <c r="M36" s="68" t="e">
        <f>C36/B36*L36</f>
        <v>#DIV/0!</v>
      </c>
      <c r="N36" s="14"/>
      <c r="O36" s="39" t="e">
        <f>C36/B36*N36</f>
        <v>#DIV/0!</v>
      </c>
      <c r="P36" s="53"/>
      <c r="Q36" s="68" t="e">
        <f>C36/B36*P36</f>
        <v>#DIV/0!</v>
      </c>
      <c r="R36" s="14"/>
      <c r="S36" s="39" t="e">
        <f>C36/B36*R36</f>
        <v>#DIV/0!</v>
      </c>
      <c r="T36" s="53"/>
      <c r="U36" s="68" t="e">
        <f>C36/B36*T36</f>
        <v>#DIV/0!</v>
      </c>
      <c r="V36" s="14"/>
      <c r="W36" s="40" t="e">
        <f>C36/B36*V36</f>
        <v>#DIV/0!</v>
      </c>
    </row>
    <row r="37">
      <c r="A37" s="78" t="s">
        <v>63</v>
      </c>
      <c r="B37" s="14"/>
      <c r="C37" s="14"/>
      <c r="D37" s="53"/>
      <c r="E37" s="68" t="e">
        <f>C37/B37*D37</f>
        <v>#DIV/0!</v>
      </c>
      <c r="F37" s="14"/>
      <c r="G37" s="39" t="e">
        <f>C37/B37*F38</f>
        <v>#DIV/0!</v>
      </c>
      <c r="H37" s="53"/>
      <c r="I37" s="68" t="e">
        <f>C37/B37*H37</f>
        <v>#DIV/0!</v>
      </c>
      <c r="J37" s="14"/>
      <c r="K37" s="39" t="e">
        <f>C37/B37*J37</f>
        <v>#DIV/0!</v>
      </c>
      <c r="L37" s="53"/>
      <c r="M37" s="68" t="e">
        <f>C37/B37*L37</f>
        <v>#DIV/0!</v>
      </c>
      <c r="N37" s="14"/>
      <c r="O37" s="39" t="e">
        <f>C37/B37*N37</f>
        <v>#DIV/0!</v>
      </c>
      <c r="P37" s="53"/>
      <c r="Q37" s="68" t="e">
        <f>C37/B37*P37</f>
        <v>#DIV/0!</v>
      </c>
      <c r="R37" s="14"/>
      <c r="S37" s="39" t="e">
        <f>C37/B37*R37</f>
        <v>#DIV/0!</v>
      </c>
      <c r="T37" s="53"/>
      <c r="U37" s="68" t="e">
        <f>C37/B37*T37</f>
        <v>#DIV/0!</v>
      </c>
      <c r="V37" s="14"/>
      <c r="W37" s="40" t="e">
        <f>C37/B37*V37</f>
        <v>#DIV/0!</v>
      </c>
    </row>
    <row r="38">
      <c r="A38" s="78" t="s">
        <v>63</v>
      </c>
      <c r="B38" s="14"/>
      <c r="C38" s="14"/>
      <c r="D38" s="53"/>
      <c r="E38" s="68" t="e">
        <f>C38/B38*D38</f>
        <v>#DIV/0!</v>
      </c>
      <c r="F38" s="14"/>
      <c r="G38" s="39" t="e">
        <f>C38/B38*F39</f>
        <v>#DIV/0!</v>
      </c>
      <c r="H38" s="53"/>
      <c r="I38" s="68" t="e">
        <f>C38/B38*H38</f>
        <v>#DIV/0!</v>
      </c>
      <c r="J38" s="14"/>
      <c r="K38" s="39" t="e">
        <f>C38/B38*J38</f>
        <v>#DIV/0!</v>
      </c>
      <c r="L38" s="53"/>
      <c r="M38" s="68" t="e">
        <f>C38/B38*L38</f>
        <v>#DIV/0!</v>
      </c>
      <c r="N38" s="14"/>
      <c r="O38" s="39" t="e">
        <f>C38/B38*N38</f>
        <v>#DIV/0!</v>
      </c>
      <c r="P38" s="53"/>
      <c r="Q38" s="68" t="e">
        <f>C38/B38*P38</f>
        <v>#DIV/0!</v>
      </c>
      <c r="R38" s="14"/>
      <c r="S38" s="39" t="e">
        <f>C38/B38*R38</f>
        <v>#DIV/0!</v>
      </c>
      <c r="T38" s="53"/>
      <c r="U38" s="68" t="e">
        <f>C38/B38*T38</f>
        <v>#DIV/0!</v>
      </c>
      <c r="V38" s="14"/>
      <c r="W38" s="40" t="e">
        <f>C38/B38*V38</f>
        <v>#DIV/0!</v>
      </c>
    </row>
    <row r="39">
      <c r="A39" s="78" t="s">
        <v>63</v>
      </c>
      <c r="B39" s="14"/>
      <c r="C39" s="14"/>
      <c r="D39" s="53"/>
      <c r="E39" s="68" t="e">
        <f>C39/B39*D39</f>
        <v>#DIV/0!</v>
      </c>
      <c r="F39" s="14"/>
      <c r="G39" s="39" t="e">
        <f>C39/B39*F40</f>
        <v>#DIV/0!</v>
      </c>
      <c r="H39" s="53"/>
      <c r="I39" s="68" t="e">
        <f>C39/B39*H39</f>
        <v>#DIV/0!</v>
      </c>
      <c r="J39" s="14"/>
      <c r="K39" s="39" t="e">
        <f>C39/B39*J39</f>
        <v>#DIV/0!</v>
      </c>
      <c r="L39" s="53"/>
      <c r="M39" s="68" t="e">
        <f>C39/B39*L39</f>
        <v>#DIV/0!</v>
      </c>
      <c r="N39" s="14"/>
      <c r="O39" s="39" t="e">
        <f>C39/B39*N39</f>
        <v>#DIV/0!</v>
      </c>
      <c r="P39" s="53"/>
      <c r="Q39" s="68" t="e">
        <f>C39/B39*P39</f>
        <v>#DIV/0!</v>
      </c>
      <c r="R39" s="14"/>
      <c r="S39" s="39" t="e">
        <f>C39/B39*R39</f>
        <v>#DIV/0!</v>
      </c>
      <c r="T39" s="53"/>
      <c r="U39" s="68" t="e">
        <f>C39/B39*T39</f>
        <v>#DIV/0!</v>
      </c>
      <c r="V39" s="14"/>
      <c r="W39" s="40" t="e">
        <f>C39/B39*V39</f>
        <v>#DIV/0!</v>
      </c>
    </row>
    <row r="40">
      <c r="A40" s="78" t="s">
        <v>63</v>
      </c>
      <c r="B40" s="14"/>
      <c r="C40" s="14"/>
      <c r="D40" s="53"/>
      <c r="E40" s="68" t="e">
        <f>C40/B40*D40</f>
        <v>#DIV/0!</v>
      </c>
      <c r="F40" s="14"/>
      <c r="G40" s="39" t="e">
        <f>C40/B40*F41</f>
        <v>#DIV/0!</v>
      </c>
      <c r="H40" s="53"/>
      <c r="I40" s="68" t="e">
        <f>C40/B40*H40</f>
        <v>#DIV/0!</v>
      </c>
      <c r="J40" s="14"/>
      <c r="K40" s="39" t="e">
        <f>C40/B40*J40</f>
        <v>#DIV/0!</v>
      </c>
      <c r="L40" s="53"/>
      <c r="M40" s="68" t="e">
        <f>C40/B40*L40</f>
        <v>#DIV/0!</v>
      </c>
      <c r="N40" s="14"/>
      <c r="O40" s="39" t="e">
        <f>C40/B40*N40</f>
        <v>#DIV/0!</v>
      </c>
      <c r="P40" s="53"/>
      <c r="Q40" s="68" t="e">
        <f>C40/B40*P40</f>
        <v>#DIV/0!</v>
      </c>
      <c r="R40" s="14"/>
      <c r="S40" s="39" t="e">
        <f>C40/B40*R40</f>
        <v>#DIV/0!</v>
      </c>
      <c r="T40" s="53"/>
      <c r="U40" s="68" t="e">
        <f>C40/B40*T40</f>
        <v>#DIV/0!</v>
      </c>
      <c r="V40" s="14"/>
      <c r="W40" s="40" t="e">
        <f>C40/B40*V40</f>
        <v>#DIV/0!</v>
      </c>
    </row>
    <row r="41">
      <c r="A41" s="78" t="s">
        <v>63</v>
      </c>
      <c r="B41" s="14"/>
      <c r="C41" s="14"/>
      <c r="D41" s="53"/>
      <c r="E41" s="68" t="e">
        <f>C41/B41*D41</f>
        <v>#DIV/0!</v>
      </c>
      <c r="F41" s="14"/>
      <c r="G41" s="39" t="e">
        <f>C41/B41*F42</f>
        <v>#DIV/0!</v>
      </c>
      <c r="H41" s="53"/>
      <c r="I41" s="68" t="e">
        <f>C41/B41*H41</f>
        <v>#DIV/0!</v>
      </c>
      <c r="J41" s="14"/>
      <c r="K41" s="39" t="e">
        <f>C41/B41*J41</f>
        <v>#DIV/0!</v>
      </c>
      <c r="L41" s="53"/>
      <c r="M41" s="68" t="e">
        <f>C41/B41*L41</f>
        <v>#DIV/0!</v>
      </c>
      <c r="N41" s="14"/>
      <c r="O41" s="39" t="e">
        <f>C41/B41*N41</f>
        <v>#DIV/0!</v>
      </c>
      <c r="P41" s="53"/>
      <c r="Q41" s="68" t="e">
        <f>C41/B41*P41</f>
        <v>#DIV/0!</v>
      </c>
      <c r="R41" s="14"/>
      <c r="S41" s="39" t="e">
        <f>C41/B41*R41</f>
        <v>#DIV/0!</v>
      </c>
      <c r="T41" s="53"/>
      <c r="U41" s="68" t="e">
        <f>C41/B41*T41</f>
        <v>#DIV/0!</v>
      </c>
      <c r="V41" s="14"/>
      <c r="W41" s="40" t="e">
        <f>C41/B41*V41</f>
        <v>#DIV/0!</v>
      </c>
    </row>
    <row r="42">
      <c r="A42" s="78" t="s">
        <v>63</v>
      </c>
      <c r="B42" s="14"/>
      <c r="C42" s="14"/>
      <c r="D42" s="53"/>
      <c r="E42" s="68" t="e">
        <f>C42/B42*D42</f>
        <v>#DIV/0!</v>
      </c>
      <c r="F42" s="14"/>
      <c r="G42" s="39" t="e">
        <f>C42/B42*F43</f>
        <v>#DIV/0!</v>
      </c>
      <c r="H42" s="53"/>
      <c r="I42" s="68" t="e">
        <f>C42/B42*H42</f>
        <v>#DIV/0!</v>
      </c>
      <c r="J42" s="14"/>
      <c r="K42" s="39" t="e">
        <f>C42/B42*J42</f>
        <v>#DIV/0!</v>
      </c>
      <c r="L42" s="53"/>
      <c r="M42" s="68" t="e">
        <f>C42/B42*L42</f>
        <v>#DIV/0!</v>
      </c>
      <c r="N42" s="14"/>
      <c r="O42" s="39" t="e">
        <f>C42/B42*N42</f>
        <v>#DIV/0!</v>
      </c>
      <c r="P42" s="53"/>
      <c r="Q42" s="68" t="e">
        <f>C42/B42*P42</f>
        <v>#DIV/0!</v>
      </c>
      <c r="R42" s="14"/>
      <c r="S42" s="39" t="e">
        <f>C42/B42*R42</f>
        <v>#DIV/0!</v>
      </c>
      <c r="T42" s="53"/>
      <c r="U42" s="68" t="e">
        <f>C42/B42*T42</f>
        <v>#DIV/0!</v>
      </c>
      <c r="V42" s="14"/>
      <c r="W42" s="40" t="e">
        <f>C42/B42*V42</f>
        <v>#DIV/0!</v>
      </c>
    </row>
    <row r="43">
      <c r="A43" s="78" t="s">
        <v>63</v>
      </c>
      <c r="B43" s="14"/>
      <c r="C43" s="14"/>
      <c r="D43" s="53"/>
      <c r="E43" s="68" t="e">
        <f>C43/B43*D43</f>
        <v>#DIV/0!</v>
      </c>
      <c r="F43" s="14"/>
      <c r="G43" s="39" t="e">
        <f>C43/B43*F44</f>
        <v>#DIV/0!</v>
      </c>
      <c r="H43" s="53"/>
      <c r="I43" s="68" t="e">
        <f>C43/B43*H43</f>
        <v>#DIV/0!</v>
      </c>
      <c r="J43" s="14"/>
      <c r="K43" s="39" t="e">
        <f>C43/B43*J43</f>
        <v>#DIV/0!</v>
      </c>
      <c r="L43" s="53"/>
      <c r="M43" s="68" t="e">
        <f>C43/B43*L43</f>
        <v>#DIV/0!</v>
      </c>
      <c r="N43" s="14"/>
      <c r="O43" s="39" t="e">
        <f>C43/B43*N43</f>
        <v>#DIV/0!</v>
      </c>
      <c r="P43" s="53"/>
      <c r="Q43" s="68" t="e">
        <f>C43/B43*P43</f>
        <v>#DIV/0!</v>
      </c>
      <c r="R43" s="14"/>
      <c r="S43" s="39" t="e">
        <f>C43/B43*R43</f>
        <v>#DIV/0!</v>
      </c>
      <c r="T43" s="53"/>
      <c r="U43" s="68" t="e">
        <f>C43/B43*T43</f>
        <v>#DIV/0!</v>
      </c>
      <c r="V43" s="14"/>
      <c r="W43" s="40" t="e">
        <f>C43/B43*V43</f>
        <v>#DIV/0!</v>
      </c>
    </row>
    <row r="44">
      <c r="A44" s="78" t="s">
        <v>63</v>
      </c>
      <c r="B44" s="14"/>
      <c r="C44" s="14"/>
      <c r="D44" s="53"/>
      <c r="E44" s="68" t="e">
        <f>C44/B44*D44</f>
        <v>#DIV/0!</v>
      </c>
      <c r="F44" s="14"/>
      <c r="G44" s="39" t="e">
        <f>C44/B44*F45</f>
        <v>#DIV/0!</v>
      </c>
      <c r="H44" s="53"/>
      <c r="I44" s="68" t="e">
        <f>C44/B44*H44</f>
        <v>#DIV/0!</v>
      </c>
      <c r="J44" s="14"/>
      <c r="K44" s="39" t="e">
        <f>C44/B44*J44</f>
        <v>#DIV/0!</v>
      </c>
      <c r="L44" s="53"/>
      <c r="M44" s="68" t="e">
        <f>C44/B44*L44</f>
        <v>#DIV/0!</v>
      </c>
      <c r="N44" s="14"/>
      <c r="O44" s="39" t="e">
        <f>C44/B44*N44</f>
        <v>#DIV/0!</v>
      </c>
      <c r="P44" s="53"/>
      <c r="Q44" s="68" t="e">
        <f>C44/B44*P44</f>
        <v>#DIV/0!</v>
      </c>
      <c r="R44" s="14"/>
      <c r="S44" s="39" t="e">
        <f>C44/B44*R44</f>
        <v>#DIV/0!</v>
      </c>
      <c r="T44" s="53"/>
      <c r="U44" s="68" t="e">
        <f>C44/B44*T44</f>
        <v>#DIV/0!</v>
      </c>
      <c r="V44" s="14"/>
      <c r="W44" s="40" t="e">
        <f>C44/B44*V44</f>
        <v>#DIV/0!</v>
      </c>
    </row>
    <row r="45">
      <c r="A45" s="78" t="s">
        <v>63</v>
      </c>
      <c r="B45" s="14"/>
      <c r="C45" s="14"/>
      <c r="D45" s="53"/>
      <c r="E45" s="68" t="e">
        <f>C45/B45*D45</f>
        <v>#DIV/0!</v>
      </c>
      <c r="F45" s="14"/>
      <c r="G45" s="39" t="e">
        <f>C45/B45*F46</f>
        <v>#DIV/0!</v>
      </c>
      <c r="H45" s="53"/>
      <c r="I45" s="68" t="e">
        <f>C45/B45*H45</f>
        <v>#DIV/0!</v>
      </c>
      <c r="J45" s="14"/>
      <c r="K45" s="39" t="e">
        <f>C45/B45*J45</f>
        <v>#DIV/0!</v>
      </c>
      <c r="L45" s="53"/>
      <c r="M45" s="68" t="e">
        <f>C45/B45*L45</f>
        <v>#DIV/0!</v>
      </c>
      <c r="N45" s="14"/>
      <c r="O45" s="39" t="e">
        <f>C45/B45*N45</f>
        <v>#DIV/0!</v>
      </c>
      <c r="P45" s="53"/>
      <c r="Q45" s="68" t="e">
        <f>C45/B45*P45</f>
        <v>#DIV/0!</v>
      </c>
      <c r="R45" s="14"/>
      <c r="S45" s="39" t="e">
        <f>C45/B45*R45</f>
        <v>#DIV/0!</v>
      </c>
      <c r="T45" s="53"/>
      <c r="U45" s="68" t="e">
        <f>C45/B45*T45</f>
        <v>#DIV/0!</v>
      </c>
      <c r="V45" s="14"/>
      <c r="W45" s="40" t="e">
        <f>C45/B45*V45</f>
        <v>#DIV/0!</v>
      </c>
    </row>
    <row r="46">
      <c r="A46" s="78" t="s">
        <v>63</v>
      </c>
      <c r="B46" s="14"/>
      <c r="C46" s="14"/>
      <c r="D46" s="53"/>
      <c r="E46" s="68" t="e">
        <f>C46/B46*D46</f>
        <v>#DIV/0!</v>
      </c>
      <c r="F46" s="14"/>
      <c r="G46" s="39" t="e">
        <f>C46/B46*F47</f>
        <v>#DIV/0!</v>
      </c>
      <c r="H46" s="53"/>
      <c r="I46" s="68" t="e">
        <f>C46/B46*H46</f>
        <v>#DIV/0!</v>
      </c>
      <c r="J46" s="14"/>
      <c r="K46" s="39" t="e">
        <f>C46/B46*J46</f>
        <v>#DIV/0!</v>
      </c>
      <c r="L46" s="53"/>
      <c r="M46" s="68" t="e">
        <f>C46/B46*L46</f>
        <v>#DIV/0!</v>
      </c>
      <c r="N46" s="14"/>
      <c r="O46" s="39" t="e">
        <f>C46/B46*N46</f>
        <v>#DIV/0!</v>
      </c>
      <c r="P46" s="53"/>
      <c r="Q46" s="68" t="e">
        <f>C46/B46*P46</f>
        <v>#DIV/0!</v>
      </c>
      <c r="R46" s="14"/>
      <c r="S46" s="39" t="e">
        <f>C46/B46*R46</f>
        <v>#DIV/0!</v>
      </c>
      <c r="T46" s="53"/>
      <c r="U46" s="68" t="e">
        <f>C46/B46*T46</f>
        <v>#DIV/0!</v>
      </c>
      <c r="V46" s="14"/>
      <c r="W46" s="40" t="e">
        <f>C46/B46*V46</f>
        <v>#DIV/0!</v>
      </c>
    </row>
    <row r="47">
      <c r="A47" s="78" t="s">
        <v>63</v>
      </c>
      <c r="B47" s="14"/>
      <c r="C47" s="14"/>
      <c r="D47" s="53"/>
      <c r="E47" s="68" t="e">
        <f>C47/B47*D47</f>
        <v>#DIV/0!</v>
      </c>
      <c r="F47" s="14"/>
      <c r="G47" s="39" t="e">
        <f>C47/B47*F48</f>
        <v>#DIV/0!</v>
      </c>
      <c r="H47" s="53"/>
      <c r="I47" s="68" t="e">
        <f>C47/B47*H47</f>
        <v>#DIV/0!</v>
      </c>
      <c r="J47" s="14"/>
      <c r="K47" s="39" t="e">
        <f>C47/B47*J47</f>
        <v>#DIV/0!</v>
      </c>
      <c r="L47" s="53"/>
      <c r="M47" s="68" t="e">
        <f>C47/B47*L47</f>
        <v>#DIV/0!</v>
      </c>
      <c r="N47" s="14"/>
      <c r="O47" s="39" t="e">
        <f>C47/B47*N47</f>
        <v>#DIV/0!</v>
      </c>
      <c r="P47" s="53"/>
      <c r="Q47" s="68" t="e">
        <f>C47/B47*P47</f>
        <v>#DIV/0!</v>
      </c>
      <c r="R47" s="14"/>
      <c r="S47" s="39" t="e">
        <f>C47/B47*R47</f>
        <v>#DIV/0!</v>
      </c>
      <c r="T47" s="53"/>
      <c r="U47" s="68" t="e">
        <f>C47/B47*T47</f>
        <v>#DIV/0!</v>
      </c>
      <c r="V47" s="14"/>
      <c r="W47" s="40" t="e">
        <f>C47/B47*V47</f>
        <v>#DIV/0!</v>
      </c>
    </row>
    <row r="48">
      <c r="A48" s="78" t="s">
        <v>63</v>
      </c>
      <c r="B48" s="14"/>
      <c r="C48" s="14"/>
      <c r="D48" s="53"/>
      <c r="E48" s="68" t="e">
        <f>C48/B48*D48</f>
        <v>#DIV/0!</v>
      </c>
      <c r="F48" s="14"/>
      <c r="G48" s="39" t="e">
        <f>C48/B48*F49</f>
        <v>#DIV/0!</v>
      </c>
      <c r="H48" s="53"/>
      <c r="I48" s="68" t="e">
        <f>C48/B48*H48</f>
        <v>#DIV/0!</v>
      </c>
      <c r="J48" s="14"/>
      <c r="K48" s="39" t="e">
        <f>C48/B48*J48</f>
        <v>#DIV/0!</v>
      </c>
      <c r="L48" s="53"/>
      <c r="M48" s="68" t="e">
        <f>C48/B48*L48</f>
        <v>#DIV/0!</v>
      </c>
      <c r="N48" s="14"/>
      <c r="O48" s="39" t="e">
        <f>C48/B48*N48</f>
        <v>#DIV/0!</v>
      </c>
      <c r="P48" s="53"/>
      <c r="Q48" s="68" t="e">
        <f>C48/B48*P48</f>
        <v>#DIV/0!</v>
      </c>
      <c r="R48" s="14"/>
      <c r="S48" s="39" t="e">
        <f>C48/B48*R48</f>
        <v>#DIV/0!</v>
      </c>
      <c r="T48" s="53"/>
      <c r="U48" s="68" t="e">
        <f>C48/B48*T48</f>
        <v>#DIV/0!</v>
      </c>
      <c r="V48" s="14"/>
      <c r="W48" s="40" t="e">
        <f>C48/B48*V48</f>
        <v>#DIV/0!</v>
      </c>
    </row>
    <row r="49">
      <c r="A49" s="78" t="s">
        <v>63</v>
      </c>
      <c r="B49" s="14"/>
      <c r="C49" s="14"/>
      <c r="D49" s="53"/>
      <c r="E49" s="68" t="e">
        <f>C49/B49*D49</f>
        <v>#DIV/0!</v>
      </c>
      <c r="F49" s="14"/>
      <c r="G49" s="39" t="e">
        <f>C49/B49*F50</f>
        <v>#DIV/0!</v>
      </c>
      <c r="H49" s="53"/>
      <c r="I49" s="68" t="e">
        <f>C49/B49*H49</f>
        <v>#DIV/0!</v>
      </c>
      <c r="J49" s="14"/>
      <c r="K49" s="39" t="e">
        <f>C49/B49*J49</f>
        <v>#DIV/0!</v>
      </c>
      <c r="L49" s="53"/>
      <c r="M49" s="68" t="e">
        <f>C49/B49*L49</f>
        <v>#DIV/0!</v>
      </c>
      <c r="N49" s="14"/>
      <c r="O49" s="39" t="e">
        <f>C49/B49*N49</f>
        <v>#DIV/0!</v>
      </c>
      <c r="P49" s="53"/>
      <c r="Q49" s="68" t="e">
        <f>C49/B49*P49</f>
        <v>#DIV/0!</v>
      </c>
      <c r="R49" s="14"/>
      <c r="S49" s="39" t="e">
        <f>C49/B49*R49</f>
        <v>#DIV/0!</v>
      </c>
      <c r="T49" s="53"/>
      <c r="U49" s="68" t="e">
        <f>C49/B49*T49</f>
        <v>#DIV/0!</v>
      </c>
      <c r="V49" s="14"/>
      <c r="W49" s="40" t="e">
        <f>C49/B49*V49</f>
        <v>#DIV/0!</v>
      </c>
    </row>
    <row r="50">
      <c r="A50" s="78" t="s">
        <v>63</v>
      </c>
      <c r="B50" s="14"/>
      <c r="C50" s="14"/>
      <c r="D50" s="53"/>
      <c r="E50" s="68" t="e">
        <f>C50/B50*D50</f>
        <v>#DIV/0!</v>
      </c>
      <c r="F50" s="14"/>
      <c r="G50" s="39" t="e">
        <f>C50/B50*F51</f>
        <v>#DIV/0!</v>
      </c>
      <c r="H50" s="53"/>
      <c r="I50" s="68" t="e">
        <f>C50/B50*H50</f>
        <v>#DIV/0!</v>
      </c>
      <c r="J50" s="14"/>
      <c r="K50" s="39" t="e">
        <f>C50/B50*J50</f>
        <v>#DIV/0!</v>
      </c>
      <c r="L50" s="53"/>
      <c r="M50" s="68" t="e">
        <f>C50/B50*L50</f>
        <v>#DIV/0!</v>
      </c>
      <c r="N50" s="14"/>
      <c r="O50" s="39" t="e">
        <f>C50/B50*N50</f>
        <v>#DIV/0!</v>
      </c>
      <c r="P50" s="53"/>
      <c r="Q50" s="68" t="e">
        <f>C50/B50*P50</f>
        <v>#DIV/0!</v>
      </c>
      <c r="R50" s="14"/>
      <c r="S50" s="39" t="e">
        <f>C50/B50*R50</f>
        <v>#DIV/0!</v>
      </c>
      <c r="T50" s="53"/>
      <c r="U50" s="68" t="e">
        <f>C50/B50*T50</f>
        <v>#DIV/0!</v>
      </c>
      <c r="V50" s="14"/>
      <c r="W50" s="40" t="e">
        <f>C50/B50*V50</f>
        <v>#DIV/0!</v>
      </c>
    </row>
    <row r="51">
      <c r="A51" s="78" t="s">
        <v>63</v>
      </c>
      <c r="B51" s="14"/>
      <c r="C51" s="14"/>
      <c r="D51" s="53"/>
      <c r="E51" s="68" t="e">
        <f>C51/B51*D51</f>
        <v>#DIV/0!</v>
      </c>
      <c r="F51" s="14"/>
      <c r="G51" s="39" t="e">
        <f>C51/B51*F52</f>
        <v>#DIV/0!</v>
      </c>
      <c r="H51" s="53"/>
      <c r="I51" s="68" t="e">
        <f>C51/B51*H51</f>
        <v>#DIV/0!</v>
      </c>
      <c r="J51" s="14"/>
      <c r="K51" s="39" t="e">
        <f>C51/B51*J51</f>
        <v>#DIV/0!</v>
      </c>
      <c r="L51" s="53"/>
      <c r="M51" s="68" t="e">
        <f>C51/B51*L51</f>
        <v>#DIV/0!</v>
      </c>
      <c r="N51" s="14"/>
      <c r="O51" s="39" t="e">
        <f>C51/B51*N51</f>
        <v>#DIV/0!</v>
      </c>
      <c r="P51" s="53"/>
      <c r="Q51" s="68" t="e">
        <f>C51/B51*P51</f>
        <v>#DIV/0!</v>
      </c>
      <c r="R51" s="14"/>
      <c r="S51" s="39" t="e">
        <f>C51/B51*R51</f>
        <v>#DIV/0!</v>
      </c>
      <c r="T51" s="53"/>
      <c r="U51" s="68" t="e">
        <f>C51/B51*T51</f>
        <v>#DIV/0!</v>
      </c>
      <c r="V51" s="14"/>
      <c r="W51" s="40" t="e">
        <f>C51/B51*V51</f>
        <v>#DIV/0!</v>
      </c>
    </row>
    <row r="52">
      <c r="A52" s="78" t="s">
        <v>63</v>
      </c>
      <c r="B52" s="14"/>
      <c r="C52" s="14"/>
      <c r="D52" s="53"/>
      <c r="E52" s="68" t="e">
        <f>C52/B52*D52</f>
        <v>#DIV/0!</v>
      </c>
      <c r="F52" s="14"/>
      <c r="G52" s="39" t="e">
        <f>C52/B52*F53</f>
        <v>#DIV/0!</v>
      </c>
      <c r="H52" s="53"/>
      <c r="I52" s="68" t="e">
        <f>C52/B52*H52</f>
        <v>#DIV/0!</v>
      </c>
      <c r="J52" s="14"/>
      <c r="K52" s="39" t="e">
        <f>C52/B52*J52</f>
        <v>#DIV/0!</v>
      </c>
      <c r="L52" s="53"/>
      <c r="M52" s="68" t="e">
        <f>C52/B52*L52</f>
        <v>#DIV/0!</v>
      </c>
      <c r="N52" s="14"/>
      <c r="O52" s="39" t="e">
        <f>C52/B52*N52</f>
        <v>#DIV/0!</v>
      </c>
      <c r="P52" s="53"/>
      <c r="Q52" s="68" t="e">
        <f>C52/B52*P52</f>
        <v>#DIV/0!</v>
      </c>
      <c r="R52" s="14"/>
      <c r="S52" s="39" t="e">
        <f>C52/B52*R52</f>
        <v>#DIV/0!</v>
      </c>
      <c r="T52" s="53"/>
      <c r="U52" s="68" t="e">
        <f>C52/B52*T52</f>
        <v>#DIV/0!</v>
      </c>
      <c r="V52" s="14"/>
      <c r="W52" s="40" t="e">
        <f>C52/B52*V52</f>
        <v>#DIV/0!</v>
      </c>
    </row>
    <row r="53">
      <c r="A53" s="78" t="s">
        <v>63</v>
      </c>
      <c r="B53" s="14"/>
      <c r="C53" s="14"/>
      <c r="D53" s="53"/>
      <c r="E53" s="68" t="e">
        <f>C53/B53*D53</f>
        <v>#DIV/0!</v>
      </c>
      <c r="F53" s="14"/>
      <c r="G53" s="39" t="e">
        <f>C53/B53*F54</f>
        <v>#DIV/0!</v>
      </c>
      <c r="H53" s="53"/>
      <c r="I53" s="68" t="e">
        <f>C53/B53*H53</f>
        <v>#DIV/0!</v>
      </c>
      <c r="J53" s="14"/>
      <c r="K53" s="39" t="e">
        <f>C53/B53*J53</f>
        <v>#DIV/0!</v>
      </c>
      <c r="L53" s="53"/>
      <c r="M53" s="68" t="e">
        <f>C53/B53*L53</f>
        <v>#DIV/0!</v>
      </c>
      <c r="N53" s="14"/>
      <c r="O53" s="39" t="e">
        <f>C53/B53*N53</f>
        <v>#DIV/0!</v>
      </c>
      <c r="P53" s="53"/>
      <c r="Q53" s="68" t="e">
        <f>C53/B53*P53</f>
        <v>#DIV/0!</v>
      </c>
      <c r="R53" s="14"/>
      <c r="S53" s="39" t="e">
        <f>C53/B53*R53</f>
        <v>#DIV/0!</v>
      </c>
      <c r="T53" s="53"/>
      <c r="U53" s="68" t="e">
        <f>C53/B53*T53</f>
        <v>#DIV/0!</v>
      </c>
      <c r="V53" s="14"/>
      <c r="W53" s="40" t="e">
        <f>C53/B53*V53</f>
        <v>#DIV/0!</v>
      </c>
    </row>
    <row r="54">
      <c r="A54" s="78" t="s">
        <v>63</v>
      </c>
      <c r="B54" s="14"/>
      <c r="C54" s="14"/>
      <c r="D54" s="53"/>
      <c r="E54" s="68" t="e">
        <f>C54/B54*D54</f>
        <v>#DIV/0!</v>
      </c>
      <c r="F54" s="14"/>
      <c r="G54" s="39" t="e">
        <f>C54/B54*F55</f>
        <v>#DIV/0!</v>
      </c>
      <c r="H54" s="53"/>
      <c r="I54" s="68" t="e">
        <f>C54/B54*H54</f>
        <v>#DIV/0!</v>
      </c>
      <c r="J54" s="14"/>
      <c r="K54" s="39" t="e">
        <f>C54/B54*J54</f>
        <v>#DIV/0!</v>
      </c>
      <c r="L54" s="53"/>
      <c r="M54" s="68" t="e">
        <f>C54/B54*L54</f>
        <v>#DIV/0!</v>
      </c>
      <c r="N54" s="14"/>
      <c r="O54" s="39" t="e">
        <f>C54/B54*N54</f>
        <v>#DIV/0!</v>
      </c>
      <c r="P54" s="53"/>
      <c r="Q54" s="68" t="e">
        <f>C54/B54*P54</f>
        <v>#DIV/0!</v>
      </c>
      <c r="R54" s="14"/>
      <c r="S54" s="39" t="e">
        <f>C54/B54*R54</f>
        <v>#DIV/0!</v>
      </c>
      <c r="T54" s="53"/>
      <c r="U54" s="68" t="e">
        <f>C54/B54*T54</f>
        <v>#DIV/0!</v>
      </c>
      <c r="V54" s="14"/>
      <c r="W54" s="40" t="e">
        <f>C54/B54*V54</f>
        <v>#DIV/0!</v>
      </c>
    </row>
    <row r="55">
      <c r="A55" s="78" t="s">
        <v>63</v>
      </c>
      <c r="B55" s="14"/>
      <c r="C55" s="14"/>
      <c r="D55" s="53"/>
      <c r="E55" s="68" t="e">
        <f>C55/B55*D55</f>
        <v>#DIV/0!</v>
      </c>
      <c r="F55" s="14"/>
      <c r="G55" s="39" t="e">
        <f>C55/B55*F56</f>
        <v>#DIV/0!</v>
      </c>
      <c r="H55" s="53"/>
      <c r="I55" s="68" t="e">
        <f>C55/B55*H55</f>
        <v>#DIV/0!</v>
      </c>
      <c r="J55" s="14"/>
      <c r="K55" s="39" t="e">
        <f>C55/B55*J55</f>
        <v>#DIV/0!</v>
      </c>
      <c r="L55" s="53"/>
      <c r="M55" s="68" t="e">
        <f>C55/B55*L55</f>
        <v>#DIV/0!</v>
      </c>
      <c r="N55" s="14"/>
      <c r="O55" s="39" t="e">
        <f>C55/B55*N55</f>
        <v>#DIV/0!</v>
      </c>
      <c r="P55" s="53"/>
      <c r="Q55" s="68" t="e">
        <f>C55/B55*P55</f>
        <v>#DIV/0!</v>
      </c>
      <c r="R55" s="14"/>
      <c r="S55" s="39" t="e">
        <f>C55/B55*R55</f>
        <v>#DIV/0!</v>
      </c>
      <c r="T55" s="53"/>
      <c r="U55" s="68" t="e">
        <f>C55/B55*T55</f>
        <v>#DIV/0!</v>
      </c>
      <c r="V55" s="14"/>
      <c r="W55" s="40" t="e">
        <f>C55/B55*V55</f>
        <v>#DIV/0!</v>
      </c>
    </row>
    <row r="56">
      <c r="A56" s="78" t="s">
        <v>63</v>
      </c>
      <c r="B56" s="14"/>
      <c r="C56" s="14"/>
      <c r="D56" s="53"/>
      <c r="E56" s="68" t="e">
        <f>C56/B56*D56</f>
        <v>#DIV/0!</v>
      </c>
      <c r="F56" s="14"/>
      <c r="G56" s="39" t="e">
        <f>C56/B56*F57</f>
        <v>#DIV/0!</v>
      </c>
      <c r="H56" s="53"/>
      <c r="I56" s="68" t="e">
        <f>C56/B56*H56</f>
        <v>#DIV/0!</v>
      </c>
      <c r="J56" s="14"/>
      <c r="K56" s="39" t="e">
        <f>C56/B56*J56</f>
        <v>#DIV/0!</v>
      </c>
      <c r="L56" s="53"/>
      <c r="M56" s="68" t="e">
        <f>C56/B56*L56</f>
        <v>#DIV/0!</v>
      </c>
      <c r="N56" s="14"/>
      <c r="O56" s="39" t="e">
        <f>C56/B56*N56</f>
        <v>#DIV/0!</v>
      </c>
      <c r="P56" s="53"/>
      <c r="Q56" s="68" t="e">
        <f>C56/B56*P56</f>
        <v>#DIV/0!</v>
      </c>
      <c r="R56" s="14"/>
      <c r="S56" s="39" t="e">
        <f>C56/B56*R56</f>
        <v>#DIV/0!</v>
      </c>
      <c r="T56" s="53"/>
      <c r="U56" s="68" t="e">
        <f>C56/B56*T56</f>
        <v>#DIV/0!</v>
      </c>
      <c r="V56" s="14"/>
      <c r="W56" s="40" t="e">
        <f>C56/B56*V56</f>
        <v>#DIV/0!</v>
      </c>
    </row>
    <row r="57">
      <c r="A57" s="78" t="s">
        <v>63</v>
      </c>
      <c r="B57" s="14"/>
      <c r="C57" s="14"/>
      <c r="D57" s="53"/>
      <c r="E57" s="68" t="e">
        <f>C57/B57*D57</f>
        <v>#DIV/0!</v>
      </c>
      <c r="F57" s="14"/>
      <c r="G57" s="39" t="e">
        <f>C57/B57*F58</f>
        <v>#DIV/0!</v>
      </c>
      <c r="H57" s="53"/>
      <c r="I57" s="68" t="e">
        <f>C57/B57*H57</f>
        <v>#DIV/0!</v>
      </c>
      <c r="J57" s="14"/>
      <c r="K57" s="39" t="e">
        <f>C57/B57*J57</f>
        <v>#DIV/0!</v>
      </c>
      <c r="L57" s="53"/>
      <c r="M57" s="68" t="e">
        <f>C57/B57*L57</f>
        <v>#DIV/0!</v>
      </c>
      <c r="N57" s="14"/>
      <c r="O57" s="39" t="e">
        <f>C57/B57*N57</f>
        <v>#DIV/0!</v>
      </c>
      <c r="P57" s="53"/>
      <c r="Q57" s="68" t="e">
        <f>C57/B57*P57</f>
        <v>#DIV/0!</v>
      </c>
      <c r="R57" s="14"/>
      <c r="S57" s="39" t="e">
        <f>C57/B57*R57</f>
        <v>#DIV/0!</v>
      </c>
      <c r="T57" s="53"/>
      <c r="U57" s="68" t="e">
        <f>C57/B57*T57</f>
        <v>#DIV/0!</v>
      </c>
      <c r="V57" s="14"/>
      <c r="W57" s="40" t="e">
        <f>C57/B57*V57</f>
        <v>#DIV/0!</v>
      </c>
    </row>
    <row r="58">
      <c r="A58" s="78" t="s">
        <v>63</v>
      </c>
      <c r="B58" s="14"/>
      <c r="C58" s="14"/>
      <c r="D58" s="53"/>
      <c r="E58" s="68" t="e">
        <f>C58/B58*D58</f>
        <v>#DIV/0!</v>
      </c>
      <c r="F58" s="14"/>
      <c r="G58" s="39" t="e">
        <f>C58/B58*F59</f>
        <v>#DIV/0!</v>
      </c>
      <c r="H58" s="53"/>
      <c r="I58" s="68" t="e">
        <f>C58/B58*H58</f>
        <v>#DIV/0!</v>
      </c>
      <c r="J58" s="14"/>
      <c r="K58" s="39" t="e">
        <f>C58/B58*J58</f>
        <v>#DIV/0!</v>
      </c>
      <c r="L58" s="53"/>
      <c r="M58" s="68" t="e">
        <f>C58/B58*L58</f>
        <v>#DIV/0!</v>
      </c>
      <c r="N58" s="14"/>
      <c r="O58" s="39" t="e">
        <f>C58/B58*N58</f>
        <v>#DIV/0!</v>
      </c>
      <c r="P58" s="53"/>
      <c r="Q58" s="68" t="e">
        <f>C58/B58*P58</f>
        <v>#DIV/0!</v>
      </c>
      <c r="R58" s="14"/>
      <c r="S58" s="39" t="e">
        <f>C58/B58*R58</f>
        <v>#DIV/0!</v>
      </c>
      <c r="T58" s="53"/>
      <c r="U58" s="68" t="e">
        <f>C58/B58*T58</f>
        <v>#DIV/0!</v>
      </c>
      <c r="V58" s="14"/>
      <c r="W58" s="40" t="e">
        <f>C58/B58*V58</f>
        <v>#DIV/0!</v>
      </c>
    </row>
    <row r="59">
      <c r="A59" s="79" t="s">
        <v>63</v>
      </c>
      <c r="B59" s="14"/>
      <c r="C59" s="14"/>
      <c r="D59" s="57"/>
      <c r="E59" s="69" t="e">
        <f>C59/B59*D59</f>
        <v>#DIV/0!</v>
      </c>
      <c r="F59" s="14"/>
      <c r="G59" s="39" t="e">
        <f>C59/B59*F59</f>
        <v>#DIV/0!</v>
      </c>
      <c r="H59" s="57"/>
      <c r="I59" s="69" t="e">
        <f>C59/B59*H59</f>
        <v>#DIV/0!</v>
      </c>
      <c r="J59" s="14"/>
      <c r="K59" s="39" t="e">
        <f>C59/B59*J59</f>
        <v>#DIV/0!</v>
      </c>
      <c r="L59" s="57"/>
      <c r="M59" s="69" t="e">
        <f>C59/B59*L59</f>
        <v>#DIV/0!</v>
      </c>
      <c r="N59" s="14"/>
      <c r="O59" s="39" t="e">
        <f>C59/B59*N59</f>
        <v>#DIV/0!</v>
      </c>
      <c r="P59" s="57"/>
      <c r="Q59" s="69" t="e">
        <f>C59/B59*P59</f>
        <v>#DIV/0!</v>
      </c>
      <c r="R59" s="14"/>
      <c r="S59" s="39" t="e">
        <f>C59/B59*R59</f>
        <v>#DIV/0!</v>
      </c>
      <c r="T59" s="57"/>
      <c r="U59" s="69" t="e">
        <f>C59/B59*T59</f>
        <v>#DIV/0!</v>
      </c>
      <c r="V59" s="14"/>
      <c r="W59" s="40" t="e">
        <f>C59/B59*V59</f>
        <v>#DIV/0!</v>
      </c>
    </row>
    <row r="60">
      <c r="A60" s="248" t="s">
        <v>48</v>
      </c>
      <c r="B60" s="10"/>
      <c r="C60" s="10"/>
      <c r="D60" s="81" t="e">
        <f>SUM(E3:E59)*1.4</f>
        <v>#DIV/0!</v>
      </c>
      <c r="E60" s="81"/>
      <c r="F60" s="81" t="e">
        <f>SUM(G3:G59)*1.4</f>
        <v>#DIV/0!</v>
      </c>
      <c r="G60" s="81"/>
      <c r="H60" s="81" t="e">
        <f>SUM(I3:I59)*1.4</f>
        <v>#DIV/0!</v>
      </c>
      <c r="I60" s="81"/>
      <c r="J60" s="81" t="e">
        <f>SUM(K3:K59)*1.4</f>
        <v>#DIV/0!</v>
      </c>
      <c r="K60" s="81"/>
      <c r="L60" s="81" t="e">
        <f>SUM(M3:M59)*1.4</f>
        <v>#DIV/0!</v>
      </c>
      <c r="M60" s="81"/>
      <c r="N60" s="81" t="e">
        <f>SUM(O3:O59)*1.4</f>
        <v>#DIV/0!</v>
      </c>
      <c r="O60" s="81"/>
      <c r="P60" s="81" t="e">
        <f>SUM(Q3:Q59)*1.4</f>
        <v>#DIV/0!</v>
      </c>
      <c r="Q60" s="81"/>
      <c r="R60" s="81" t="e">
        <f>SUM(S3:S59)*1.4</f>
        <v>#DIV/0!</v>
      </c>
      <c r="S60" s="81"/>
      <c r="T60" s="81" t="e">
        <f>SUM(U3:U59)*1.4</f>
        <v>#DIV/0!</v>
      </c>
      <c r="U60" s="81"/>
      <c r="V60" s="81" t="e">
        <f>SUM(W3:W59)*1.4</f>
        <v>#DIV/0!</v>
      </c>
      <c r="W60" s="82"/>
    </row>
  </sheetData>
  <mergeCells count="23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3" activeCellId="0" sqref="A13"/>
    </sheetView>
  </sheetViews>
  <sheetFormatPr defaultRowHeight="15" x14ac:dyDescent="0.25" outlineLevelRow="0" outlineLevelCol="0"/>
  <cols>
    <col min="1" max="1" width="17.33203125" customWidth="1"/>
    <col min="2" max="2" width="17.33203125" customWidth="1"/>
    <col min="3" max="3" width="17.33203125" customWidth="1"/>
    <col min="4" max="4" width="17.33203125" customWidth="1"/>
    <col min="5" max="5" width="17.33203125" customWidth="1"/>
    <col min="6" max="6" width="17.33203125" customWidth="1"/>
  </cols>
  <sheetData>
    <row r="1">
      <c r="A1" s="87" t="s">
        <v>81</v>
      </c>
      <c r="B1" s="87"/>
      <c r="C1" s="87"/>
      <c r="D1" s="87"/>
      <c r="E1" s="87"/>
      <c r="F1" s="87"/>
    </row>
    <row r="2">
      <c r="A2" s="87" t="s">
        <v>65</v>
      </c>
      <c r="B2" s="87" t="s">
        <v>83</v>
      </c>
      <c r="C2" s="87" t="s">
        <v>67</v>
      </c>
      <c r="D2" s="87" t="s">
        <v>68</v>
      </c>
      <c r="E2" s="87" t="s">
        <v>79</v>
      </c>
      <c r="F2" s="87" t="s">
        <v>80</v>
      </c>
    </row>
    <row r="3">
      <c r="A3" s="100" t="str">
        <f>'Себестоимость'!D1</f>
        <v>Услуга 1</v>
      </c>
      <c r="B3" s="70"/>
      <c r="C3" s="100" t="e">
        <f>D3/B3</f>
        <v>#DIV/0!</v>
      </c>
      <c r="D3" s="100" t="e">
        <f>F3-E3</f>
        <v>#DIV/0!</v>
      </c>
      <c r="E3" s="100" t="e">
        <f>'Себестоимость'!D60</f>
        <v>#DIV/0!</v>
      </c>
      <c r="F3" s="70"/>
    </row>
    <row r="4">
      <c r="A4" s="100" t="str">
        <f>'Себестоимость'!F1</f>
        <v>Услуга 2</v>
      </c>
      <c r="B4" s="70"/>
      <c r="C4" s="100" t="e">
        <f>D4/B4</f>
        <v>#DIV/0!</v>
      </c>
      <c r="D4" s="100" t="e">
        <f>F4-E4</f>
        <v>#DIV/0!</v>
      </c>
      <c r="E4" s="100" t="e">
        <f>'Себестоимость'!F60</f>
        <v>#DIV/0!</v>
      </c>
      <c r="F4" s="70"/>
    </row>
    <row r="5">
      <c r="A5" s="100" t="str">
        <f>'Себестоимость'!H1</f>
        <v>Услуга 3</v>
      </c>
      <c r="B5" s="70"/>
      <c r="C5" s="100" t="e">
        <f>D5/B5</f>
        <v>#DIV/0!</v>
      </c>
      <c r="D5" s="100" t="e">
        <f>F5-E5</f>
        <v>#DIV/0!</v>
      </c>
      <c r="E5" s="100" t="e">
        <f>'Себестоимость'!H60</f>
        <v>#DIV/0!</v>
      </c>
      <c r="F5" s="70"/>
    </row>
    <row r="6">
      <c r="A6" s="100" t="str">
        <f>'Себестоимость'!J1</f>
        <v>Услуга 4</v>
      </c>
      <c r="B6" s="70"/>
      <c r="C6" s="100" t="e">
        <f>D6/B6</f>
        <v>#DIV/0!</v>
      </c>
      <c r="D6" s="100" t="e">
        <f>F6-E6</f>
        <v>#DIV/0!</v>
      </c>
      <c r="E6" s="100" t="e">
        <f>'Себестоимость'!J60</f>
        <v>#DIV/0!</v>
      </c>
      <c r="F6" s="70"/>
    </row>
    <row r="7">
      <c r="A7" s="100" t="str">
        <f>'Себестоимость'!L1</f>
        <v>Услуга 5</v>
      </c>
      <c r="B7" s="70"/>
      <c r="C7" s="100" t="e">
        <f>D7/B7</f>
        <v>#DIV/0!</v>
      </c>
      <c r="D7" s="100" t="e">
        <f>F7-E7</f>
        <v>#DIV/0!</v>
      </c>
      <c r="E7" s="100" t="e">
        <f>'Себестоимость'!L60</f>
        <v>#DIV/0!</v>
      </c>
      <c r="F7" s="70"/>
    </row>
    <row r="8">
      <c r="A8" s="100" t="str">
        <f>'Себестоимость'!N1</f>
        <v>Услуга 6</v>
      </c>
      <c r="B8" s="70"/>
      <c r="C8" s="100" t="e">
        <f>D8/B8</f>
        <v>#DIV/0!</v>
      </c>
      <c r="D8" s="100" t="e">
        <f>F8-E8</f>
        <v>#DIV/0!</v>
      </c>
      <c r="E8" s="100" t="e">
        <f>'Себестоимость'!N60</f>
        <v>#DIV/0!</v>
      </c>
      <c r="F8" s="70"/>
    </row>
    <row r="9">
      <c r="A9" s="100" t="str">
        <f>'Себестоимость'!P1</f>
        <v>Услуга 7</v>
      </c>
      <c r="B9" s="70"/>
      <c r="C9" s="100" t="e">
        <f>D9/B9</f>
        <v>#DIV/0!</v>
      </c>
      <c r="D9" s="100" t="e">
        <f>F9-E9</f>
        <v>#DIV/0!</v>
      </c>
      <c r="E9" s="100" t="e">
        <f>'Себестоимость'!P60</f>
        <v>#DIV/0!</v>
      </c>
      <c r="F9" s="70"/>
    </row>
    <row r="10">
      <c r="A10" s="101" t="str">
        <f>'Себестоимость'!R1</f>
        <v>Услуга 8</v>
      </c>
      <c r="B10" s="99"/>
      <c r="C10" s="100" t="e">
        <f>D10/B10</f>
        <v>#DIV/0!</v>
      </c>
      <c r="D10" s="100" t="e">
        <f>F10-E10</f>
        <v>#DIV/0!</v>
      </c>
      <c r="E10" s="101" t="e">
        <f>'Себестоимость'!R60</f>
        <v>#DIV/0!</v>
      </c>
      <c r="F10" s="99"/>
    </row>
    <row r="11">
      <c r="A11" s="101" t="str">
        <f>'Себестоимость'!T1</f>
        <v>Услуга 9</v>
      </c>
      <c r="B11" s="99"/>
      <c r="C11" s="100" t="e">
        <f>D11/B11</f>
        <v>#DIV/0!</v>
      </c>
      <c r="D11" s="100" t="e">
        <f>F11-E11</f>
        <v>#DIV/0!</v>
      </c>
      <c r="E11" s="101" t="e">
        <f>'Себестоимость'!T60</f>
        <v>#DIV/0!</v>
      </c>
      <c r="F11" s="99"/>
    </row>
    <row r="12">
      <c r="A12" s="101" t="str">
        <f>'Себестоимость'!V1</f>
        <v>Услуга 10</v>
      </c>
      <c r="B12" s="99"/>
      <c r="C12" s="100" t="e">
        <f>D12/B12</f>
        <v>#DIV/0!</v>
      </c>
      <c r="D12" s="100" t="e">
        <f>F12-E12</f>
        <v>#DIV/0!</v>
      </c>
      <c r="E12" s="101" t="e">
        <f>'Себестоимость'!V60</f>
        <v>#DIV/0!</v>
      </c>
      <c r="F12" s="99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60" zoomScaleNormal="60" tabSelected="1">
      <selection activeCell="S105" activeCellId="0" sqref="S105:S114"/>
    </sheetView>
  </sheetViews>
  <sheetFormatPr defaultRowHeight="15" x14ac:dyDescent="0.25" outlineLevelRow="0" outlineLevelCol="0"/>
  <cols>
    <col min="1" max="1" width="19.21875" customWidth="1"/>
    <col min="2" max="2" width="17" customWidth="1"/>
    <col min="3" max="3" width="8.88671875"/>
    <col min="9" max="9" width="20.5546875" customWidth="1"/>
    <col min="10" max="10" width="16.77734375" customWidth="1"/>
    <col min="17" max="17" width="21.6640625" customWidth="1"/>
    <col min="18" max="18" width="16.21875" customWidth="1"/>
  </cols>
  <sheetData>
    <row r="1" ht="18">
      <c r="A1" s="194" t="s">
        <v>84</v>
      </c>
      <c r="B1" s="147" t="s">
        <v>108</v>
      </c>
      <c r="C1" s="147"/>
      <c r="D1" s="148"/>
      <c r="E1" s="148"/>
      <c r="F1" s="148"/>
      <c r="G1" s="149"/>
      <c r="I1" s="194" t="s">
        <v>84</v>
      </c>
      <c r="J1" s="147" t="s">
        <v>138</v>
      </c>
      <c r="K1" s="147"/>
      <c r="L1" s="148"/>
      <c r="M1" s="148"/>
      <c r="N1" s="148"/>
      <c r="O1" s="149"/>
      <c r="Q1" s="194" t="s">
        <v>84</v>
      </c>
      <c r="R1" s="147" t="s">
        <v>142</v>
      </c>
      <c r="S1" s="147"/>
      <c r="T1" s="148"/>
      <c r="U1" s="148"/>
      <c r="V1" s="148"/>
      <c r="W1" s="149"/>
    </row>
    <row r="2">
      <c r="A2" s="195"/>
      <c r="B2" s="99" t="s">
        <v>109</v>
      </c>
      <c r="C2" s="99" t="s">
        <v>114</v>
      </c>
      <c r="D2" s="99" t="s">
        <v>87</v>
      </c>
      <c r="E2" s="99" t="s">
        <v>88</v>
      </c>
      <c r="F2" s="99" t="s">
        <v>10</v>
      </c>
      <c r="G2" s="107" t="s">
        <v>72</v>
      </c>
      <c r="I2" s="195"/>
      <c r="J2" s="99" t="s">
        <v>109</v>
      </c>
      <c r="K2" s="99" t="s">
        <v>114</v>
      </c>
      <c r="L2" s="99" t="s">
        <v>87</v>
      </c>
      <c r="M2" s="99" t="s">
        <v>88</v>
      </c>
      <c r="N2" s="99" t="s">
        <v>10</v>
      </c>
      <c r="O2" s="107" t="s">
        <v>72</v>
      </c>
      <c r="Q2" s="195"/>
      <c r="R2" s="99" t="s">
        <v>109</v>
      </c>
      <c r="S2" s="99" t="s">
        <v>114</v>
      </c>
      <c r="T2" s="99" t="s">
        <v>87</v>
      </c>
      <c r="U2" s="99" t="s">
        <v>88</v>
      </c>
      <c r="V2" s="99" t="s">
        <v>10</v>
      </c>
      <c r="W2" s="107" t="s">
        <v>72</v>
      </c>
    </row>
    <row r="3">
      <c r="A3" s="195"/>
      <c r="B3" s="159" t="str">
        <f>'Себестоимость'!D1</f>
        <v>Услуга 1</v>
      </c>
      <c r="C3" s="45">
        <f>D3*'Прайс'!B3</f>
        <v>0</v>
      </c>
      <c r="D3" s="108"/>
      <c r="E3" s="159" t="e">
        <f>'Себестоимость'!D60</f>
        <v>#DIV/0!</v>
      </c>
      <c r="F3" s="159" t="e">
        <f>D3*E3</f>
        <v>#DIV/0!</v>
      </c>
      <c r="G3" s="160" t="e">
        <f>SUM(F3:F12)</f>
        <v>#DIV/0!</v>
      </c>
      <c r="I3" s="195"/>
      <c r="J3" s="159" t="str">
        <f>'Себестоимость'!D1</f>
        <v>Услуга 1</v>
      </c>
      <c r="K3" s="45">
        <f>D3*'Прайс'!B3</f>
        <v>0</v>
      </c>
      <c r="L3" s="108"/>
      <c r="M3" s="159" t="e">
        <f>'Себестоимость'!D60</f>
        <v>#DIV/0!</v>
      </c>
      <c r="N3" s="159" t="e">
        <f>L3*M3</f>
        <v>#DIV/0!</v>
      </c>
      <c r="O3" s="160" t="e">
        <f>SUM(N3:N12)</f>
        <v>#DIV/0!</v>
      </c>
      <c r="Q3" s="195"/>
      <c r="R3" s="159" t="str">
        <f>'Себестоимость'!D1</f>
        <v>Услуга 1</v>
      </c>
      <c r="S3" s="45">
        <f>D3*'Прайс'!B3</f>
        <v>0</v>
      </c>
      <c r="T3" s="108"/>
      <c r="U3" s="159" t="e">
        <f>'Себестоимость'!D60</f>
        <v>#DIV/0!</v>
      </c>
      <c r="V3" s="159" t="e">
        <f>T3*U3</f>
        <v>#DIV/0!</v>
      </c>
      <c r="W3" s="160" t="e">
        <f>SUM(V3:V12)</f>
        <v>#DIV/0!</v>
      </c>
    </row>
    <row r="4">
      <c r="A4" s="195"/>
      <c r="B4" s="159" t="str">
        <f>'Себестоимость'!F1</f>
        <v>Услуга 2</v>
      </c>
      <c r="C4" s="45">
        <f>D4*'Прайс'!B4</f>
        <v>0</v>
      </c>
      <c r="D4" s="108"/>
      <c r="E4" s="159" t="e">
        <f>'Себестоимость'!F60</f>
        <v>#DIV/0!</v>
      </c>
      <c r="F4" s="159" t="e">
        <f>D4*E4</f>
        <v>#DIV/0!</v>
      </c>
      <c r="G4" s="160"/>
      <c r="I4" s="195"/>
      <c r="J4" s="159" t="str">
        <f>'Себестоимость'!F1</f>
        <v>Услуга 2</v>
      </c>
      <c r="K4" s="45">
        <f>D4*'Прайс'!B4</f>
        <v>0</v>
      </c>
      <c r="L4" s="108"/>
      <c r="M4" s="159" t="e">
        <f>'Себестоимость'!F60</f>
        <v>#DIV/0!</v>
      </c>
      <c r="N4" s="159" t="e">
        <f>L4*M4</f>
        <v>#DIV/0!</v>
      </c>
      <c r="O4" s="160"/>
      <c r="Q4" s="195"/>
      <c r="R4" s="159" t="str">
        <f>'Себестоимость'!F1</f>
        <v>Услуга 2</v>
      </c>
      <c r="S4" s="45">
        <f>D4*'Прайс'!B4</f>
        <v>0</v>
      </c>
      <c r="T4" s="108"/>
      <c r="U4" s="159" t="e">
        <f>'Себестоимость'!F60</f>
        <v>#DIV/0!</v>
      </c>
      <c r="V4" s="159" t="e">
        <f>T4*U4</f>
        <v>#DIV/0!</v>
      </c>
      <c r="W4" s="160"/>
    </row>
    <row r="5">
      <c r="A5" s="195"/>
      <c r="B5" s="159" t="str">
        <f>'Себестоимость'!H1</f>
        <v>Услуга 3</v>
      </c>
      <c r="C5" s="45">
        <f>D5*'Прайс'!B5</f>
        <v>0</v>
      </c>
      <c r="D5" s="108"/>
      <c r="E5" s="159" t="e">
        <f>'Себестоимость'!H60</f>
        <v>#DIV/0!</v>
      </c>
      <c r="F5" s="159" t="e">
        <f>D5*E5</f>
        <v>#DIV/0!</v>
      </c>
      <c r="G5" s="160"/>
      <c r="I5" s="195"/>
      <c r="J5" s="159" t="str">
        <f>'Себестоимость'!H1</f>
        <v>Услуга 3</v>
      </c>
      <c r="K5" s="45">
        <f>D5*'Прайс'!B5</f>
        <v>0</v>
      </c>
      <c r="L5" s="108"/>
      <c r="M5" s="159" t="e">
        <f>'Себестоимость'!H60</f>
        <v>#DIV/0!</v>
      </c>
      <c r="N5" s="159" t="e">
        <f>L5*M5</f>
        <v>#DIV/0!</v>
      </c>
      <c r="O5" s="160"/>
      <c r="Q5" s="195"/>
      <c r="R5" s="159" t="str">
        <f>'Себестоимость'!H1</f>
        <v>Услуга 3</v>
      </c>
      <c r="S5" s="45">
        <f>D5*'Прайс'!B5</f>
        <v>0</v>
      </c>
      <c r="T5" s="108"/>
      <c r="U5" s="159" t="e">
        <f>'Себестоимость'!H60</f>
        <v>#DIV/0!</v>
      </c>
      <c r="V5" s="159" t="e">
        <f>T5*U5</f>
        <v>#DIV/0!</v>
      </c>
      <c r="W5" s="160"/>
    </row>
    <row r="6">
      <c r="A6" s="195"/>
      <c r="B6" s="176" t="str">
        <f>'Себестоимость'!J1</f>
        <v>Услуга 4</v>
      </c>
      <c r="C6" s="39">
        <f>D6*'Прайс'!B6</f>
        <v>0</v>
      </c>
      <c r="D6" s="108"/>
      <c r="E6" s="159" t="e">
        <f>'Себестоимость'!J60</f>
        <v>#DIV/0!</v>
      </c>
      <c r="F6" s="159" t="e">
        <f>D6*E6</f>
        <v>#DIV/0!</v>
      </c>
      <c r="G6" s="160"/>
      <c r="I6" s="195"/>
      <c r="J6" s="176" t="str">
        <f>'Себестоимость'!J1</f>
        <v>Услуга 4</v>
      </c>
      <c r="K6" s="45">
        <f>D6*'Прайс'!B6</f>
        <v>0</v>
      </c>
      <c r="L6" s="108"/>
      <c r="M6" s="159" t="e">
        <f>'Себестоимость'!J60</f>
        <v>#DIV/0!</v>
      </c>
      <c r="N6" s="159" t="e">
        <f>L6*M6</f>
        <v>#DIV/0!</v>
      </c>
      <c r="O6" s="160"/>
      <c r="Q6" s="195"/>
      <c r="R6" s="176" t="str">
        <f>'Себестоимость'!J1</f>
        <v>Услуга 4</v>
      </c>
      <c r="S6" s="45">
        <f>D6*'Прайс'!B6</f>
        <v>0</v>
      </c>
      <c r="T6" s="108"/>
      <c r="U6" s="159" t="e">
        <f>'Себестоимость'!J60</f>
        <v>#DIV/0!</v>
      </c>
      <c r="V6" s="159" t="e">
        <f>T6*U6</f>
        <v>#DIV/0!</v>
      </c>
      <c r="W6" s="160"/>
    </row>
    <row r="7">
      <c r="A7" s="195"/>
      <c r="B7" s="176" t="str">
        <f>'Себестоимость'!L1</f>
        <v>Услуга 5</v>
      </c>
      <c r="C7" s="176">
        <f>D7*'Прайс'!B7</f>
        <v>0</v>
      </c>
      <c r="D7" s="108"/>
      <c r="E7" s="159" t="e">
        <f>'Себестоимость'!L60</f>
        <v>#DIV/0!</v>
      </c>
      <c r="F7" s="159" t="e">
        <f>D7*E7</f>
        <v>#DIV/0!</v>
      </c>
      <c r="G7" s="160"/>
      <c r="I7" s="195"/>
      <c r="J7" s="176" t="str">
        <f>'Себестоимость'!L1</f>
        <v>Услуга 5</v>
      </c>
      <c r="K7" s="45">
        <f>D7*'Прайс'!B7</f>
        <v>0</v>
      </c>
      <c r="L7" s="108"/>
      <c r="M7" s="159" t="e">
        <f>'Себестоимость'!L60</f>
        <v>#DIV/0!</v>
      </c>
      <c r="N7" s="159" t="e">
        <f>L7*M7</f>
        <v>#DIV/0!</v>
      </c>
      <c r="O7" s="160"/>
      <c r="Q7" s="195"/>
      <c r="R7" s="176" t="str">
        <f>'Себестоимость'!L1</f>
        <v>Услуга 5</v>
      </c>
      <c r="S7" s="45">
        <f>D7*'Прайс'!B7</f>
        <v>0</v>
      </c>
      <c r="T7" s="108"/>
      <c r="U7" s="159" t="e">
        <f>'Себестоимость'!L60</f>
        <v>#DIV/0!</v>
      </c>
      <c r="V7" s="159" t="e">
        <f>T7*U7</f>
        <v>#DIV/0!</v>
      </c>
      <c r="W7" s="160"/>
    </row>
    <row r="8">
      <c r="A8" s="195"/>
      <c r="B8" s="176" t="str">
        <f>'Себестоимость'!N1</f>
        <v>Услуга 6</v>
      </c>
      <c r="C8" s="176">
        <f>D8*'Прайс'!B8</f>
        <v>0</v>
      </c>
      <c r="D8" s="108"/>
      <c r="E8" s="159" t="e">
        <f>'Себестоимость'!N60</f>
        <v>#DIV/0!</v>
      </c>
      <c r="F8" s="159" t="e">
        <f>D8*E8</f>
        <v>#DIV/0!</v>
      </c>
      <c r="G8" s="160"/>
      <c r="I8" s="195"/>
      <c r="J8" s="176" t="str">
        <f>'Себестоимость'!N1</f>
        <v>Услуга 6</v>
      </c>
      <c r="K8" s="45">
        <f>D8*'Прайс'!B8</f>
        <v>0</v>
      </c>
      <c r="L8" s="108"/>
      <c r="M8" s="159" t="e">
        <f>'Себестоимость'!N60</f>
        <v>#DIV/0!</v>
      </c>
      <c r="N8" s="159" t="e">
        <f>L8*M8</f>
        <v>#DIV/0!</v>
      </c>
      <c r="O8" s="160"/>
      <c r="Q8" s="195"/>
      <c r="R8" s="176" t="str">
        <f>'Себестоимость'!N1</f>
        <v>Услуга 6</v>
      </c>
      <c r="S8" s="45">
        <f>D8*'Прайс'!B8</f>
        <v>0</v>
      </c>
      <c r="T8" s="108"/>
      <c r="U8" s="159" t="e">
        <f>'Себестоимость'!N60</f>
        <v>#DIV/0!</v>
      </c>
      <c r="V8" s="159" t="e">
        <f>T8*U8</f>
        <v>#DIV/0!</v>
      </c>
      <c r="W8" s="160"/>
    </row>
    <row r="9">
      <c r="A9" s="195"/>
      <c r="B9" s="176" t="str">
        <f>'Себестоимость'!P1</f>
        <v>Услуга 7</v>
      </c>
      <c r="C9" s="176">
        <f>D9*'Прайс'!B9</f>
        <v>0</v>
      </c>
      <c r="D9" s="108"/>
      <c r="E9" s="159" t="e">
        <f>'Себестоимость'!P60</f>
        <v>#DIV/0!</v>
      </c>
      <c r="F9" s="159" t="e">
        <f>D9*E9</f>
        <v>#DIV/0!</v>
      </c>
      <c r="G9" s="160"/>
      <c r="I9" s="195"/>
      <c r="J9" s="176" t="str">
        <f>'Себестоимость'!P1</f>
        <v>Услуга 7</v>
      </c>
      <c r="K9" s="45">
        <f>D9*'Прайс'!B9</f>
        <v>0</v>
      </c>
      <c r="L9" s="108"/>
      <c r="M9" s="159" t="e">
        <f>'Себестоимость'!P60</f>
        <v>#DIV/0!</v>
      </c>
      <c r="N9" s="159" t="e">
        <f>L9*M9</f>
        <v>#DIV/0!</v>
      </c>
      <c r="O9" s="160"/>
      <c r="Q9" s="195"/>
      <c r="R9" s="176" t="str">
        <f>'Себестоимость'!P1</f>
        <v>Услуга 7</v>
      </c>
      <c r="S9" s="45">
        <f>D9*'Прайс'!B9</f>
        <v>0</v>
      </c>
      <c r="T9" s="108"/>
      <c r="U9" s="159" t="e">
        <f>'Себестоимость'!P60</f>
        <v>#DIV/0!</v>
      </c>
      <c r="V9" s="159" t="e">
        <f>T9*U9</f>
        <v>#DIV/0!</v>
      </c>
      <c r="W9" s="160"/>
    </row>
    <row r="10">
      <c r="A10" s="195"/>
      <c r="B10" s="176" t="str">
        <f>'Себестоимость'!R1</f>
        <v>Услуга 8</v>
      </c>
      <c r="C10" s="176">
        <f>D10*'Прайс'!B10</f>
        <v>0</v>
      </c>
      <c r="D10" s="108"/>
      <c r="E10" s="159" t="e">
        <f>'Себестоимость'!R60</f>
        <v>#DIV/0!</v>
      </c>
      <c r="F10" s="159" t="e">
        <f>D10*E10</f>
        <v>#DIV/0!</v>
      </c>
      <c r="G10" s="160"/>
      <c r="I10" s="195"/>
      <c r="J10" s="219" t="str">
        <f>'Себестоимость'!R1</f>
        <v>Услуга 8</v>
      </c>
      <c r="K10" s="45">
        <f>D10*'Прайс'!B10</f>
        <v>0</v>
      </c>
      <c r="L10" s="108"/>
      <c r="M10" s="159" t="e">
        <f>'Себестоимость'!R60</f>
        <v>#DIV/0!</v>
      </c>
      <c r="N10" s="159" t="e">
        <f>L10*M10</f>
        <v>#DIV/0!</v>
      </c>
      <c r="O10" s="160"/>
      <c r="Q10" s="195"/>
      <c r="R10" s="219" t="str">
        <f>'Себестоимость'!R1</f>
        <v>Услуга 8</v>
      </c>
      <c r="S10" s="45">
        <f>D10*'Прайс'!B10</f>
        <v>0</v>
      </c>
      <c r="T10" s="108"/>
      <c r="U10" s="159" t="e">
        <f>'Себестоимость'!R60</f>
        <v>#DIV/0!</v>
      </c>
      <c r="V10" s="159" t="e">
        <f>T10*U10</f>
        <v>#DIV/0!</v>
      </c>
      <c r="W10" s="160"/>
    </row>
    <row r="11">
      <c r="A11" s="195"/>
      <c r="B11" s="176" t="str">
        <f>'Себестоимость'!T1</f>
        <v>Услуга 9</v>
      </c>
      <c r="C11" s="176">
        <f>D11*'Прайс'!B11</f>
        <v>0</v>
      </c>
      <c r="D11" s="108"/>
      <c r="E11" s="159" t="e">
        <f>'Себестоимость'!T60</f>
        <v>#DIV/0!</v>
      </c>
      <c r="F11" s="159" t="e">
        <f>D11*E11</f>
        <v>#DIV/0!</v>
      </c>
      <c r="G11" s="160"/>
      <c r="I11" s="195"/>
      <c r="J11" s="219" t="str">
        <f>'Себестоимость'!T1</f>
        <v>Услуга 9</v>
      </c>
      <c r="K11" s="45">
        <f>D11*'Прайс'!B11</f>
        <v>0</v>
      </c>
      <c r="L11" s="108"/>
      <c r="M11" s="159" t="e">
        <f>'Себестоимость'!T60</f>
        <v>#DIV/0!</v>
      </c>
      <c r="N11" s="159" t="e">
        <f>L11*M11</f>
        <v>#DIV/0!</v>
      </c>
      <c r="O11" s="160"/>
      <c r="Q11" s="195"/>
      <c r="R11" s="176" t="str">
        <f>'Себестоимость'!T1</f>
        <v>Услуга 9</v>
      </c>
      <c r="S11" s="45">
        <f>D11*'Прайс'!B11</f>
        <v>0</v>
      </c>
      <c r="T11" s="108"/>
      <c r="U11" s="159" t="e">
        <f>'Себестоимость'!T60</f>
        <v>#DIV/0!</v>
      </c>
      <c r="V11" s="159" t="e">
        <f>T11*U11</f>
        <v>#DIV/0!</v>
      </c>
      <c r="W11" s="160"/>
    </row>
    <row r="12">
      <c r="A12" s="195"/>
      <c r="B12" s="177" t="str">
        <f>'Себестоимость'!V1</f>
        <v>Услуга 10</v>
      </c>
      <c r="C12" s="177">
        <f>D12*'Прайс'!B12</f>
        <v>0</v>
      </c>
      <c r="D12" s="112"/>
      <c r="E12" s="161" t="e">
        <f>'Себестоимость'!V60</f>
        <v>#DIV/0!</v>
      </c>
      <c r="F12" s="159" t="e">
        <f>D12*E12</f>
        <v>#DIV/0!</v>
      </c>
      <c r="G12" s="160"/>
      <c r="I12" s="195"/>
      <c r="J12" s="219" t="str">
        <f>'Себестоимость'!V1</f>
        <v>Услуга 10</v>
      </c>
      <c r="K12" s="45">
        <f>D12*'Прайс'!B12</f>
        <v>0</v>
      </c>
      <c r="L12" s="112"/>
      <c r="M12" s="161" t="e">
        <f>'Себестоимость'!V60</f>
        <v>#DIV/0!</v>
      </c>
      <c r="N12" s="159" t="e">
        <f>L12*M12</f>
        <v>#DIV/0!</v>
      </c>
      <c r="O12" s="160"/>
      <c r="Q12" s="195"/>
      <c r="R12" s="219" t="str">
        <f>'Себестоимость'!V1</f>
        <v>Услуга 10</v>
      </c>
      <c r="S12" s="45">
        <f>D12*'Прайс'!B12</f>
        <v>0</v>
      </c>
      <c r="T12" s="112"/>
      <c r="U12" s="161" t="e">
        <f>'Себестоимость'!V60</f>
        <v>#DIV/0!</v>
      </c>
      <c r="V12" s="159" t="e">
        <f>T12*U12</f>
        <v>#DIV/0!</v>
      </c>
      <c r="W12" s="160"/>
    </row>
    <row r="13">
      <c r="A13" s="195"/>
      <c r="B13" s="117" t="s">
        <v>111</v>
      </c>
      <c r="C13" s="117"/>
      <c r="D13" s="117"/>
      <c r="E13" s="117"/>
      <c r="F13" s="115"/>
      <c r="G13" s="162">
        <f>SUM(F13:F25)</f>
        <v>0</v>
      </c>
      <c r="I13" s="195"/>
      <c r="J13" s="117" t="s">
        <v>147</v>
      </c>
      <c r="K13" s="117"/>
      <c r="L13" s="117"/>
      <c r="M13" s="117"/>
      <c r="N13" s="115"/>
      <c r="O13" s="162">
        <f>SUM(N13:N25)</f>
        <v>0</v>
      </c>
      <c r="Q13" s="195"/>
      <c r="R13" s="117" t="s">
        <v>111</v>
      </c>
      <c r="S13" s="117"/>
      <c r="T13" s="117"/>
      <c r="U13" s="117"/>
      <c r="V13" s="115"/>
      <c r="W13" s="162">
        <f>SUM(V13:V25)</f>
        <v>0</v>
      </c>
    </row>
    <row r="14">
      <c r="A14" s="195"/>
      <c r="B14" s="117" t="s">
        <v>111</v>
      </c>
      <c r="C14" s="117"/>
      <c r="D14" s="117"/>
      <c r="E14" s="117"/>
      <c r="F14" s="108"/>
      <c r="G14" s="163"/>
      <c r="I14" s="195"/>
      <c r="J14" s="117" t="s">
        <v>148</v>
      </c>
      <c r="K14" s="117"/>
      <c r="L14" s="117"/>
      <c r="M14" s="117"/>
      <c r="N14" s="108"/>
      <c r="O14" s="163"/>
      <c r="Q14" s="195"/>
      <c r="R14" s="117" t="s">
        <v>111</v>
      </c>
      <c r="S14" s="117"/>
      <c r="T14" s="117"/>
      <c r="U14" s="117"/>
      <c r="V14" s="108"/>
      <c r="W14" s="163"/>
    </row>
    <row r="15">
      <c r="A15" s="195"/>
      <c r="B15" s="117" t="s">
        <v>111</v>
      </c>
      <c r="C15" s="117"/>
      <c r="D15" s="117"/>
      <c r="E15" s="117"/>
      <c r="F15" s="108"/>
      <c r="G15" s="163"/>
      <c r="I15" s="195"/>
      <c r="J15" s="117" t="s">
        <v>149</v>
      </c>
      <c r="K15" s="117"/>
      <c r="L15" s="117"/>
      <c r="M15" s="117"/>
      <c r="N15" s="108"/>
      <c r="O15" s="163"/>
      <c r="Q15" s="195"/>
      <c r="R15" s="117" t="s">
        <v>111</v>
      </c>
      <c r="S15" s="117"/>
      <c r="T15" s="117"/>
      <c r="U15" s="117"/>
      <c r="V15" s="108"/>
      <c r="W15" s="163"/>
    </row>
    <row r="16">
      <c r="A16" s="195"/>
      <c r="B16" s="117" t="s">
        <v>111</v>
      </c>
      <c r="C16" s="117"/>
      <c r="D16" s="117"/>
      <c r="E16" s="117"/>
      <c r="F16" s="108"/>
      <c r="G16" s="163"/>
      <c r="I16" s="195"/>
      <c r="J16" s="117" t="s">
        <v>150</v>
      </c>
      <c r="K16" s="117"/>
      <c r="L16" s="117"/>
      <c r="M16" s="117"/>
      <c r="N16" s="108"/>
      <c r="O16" s="163"/>
      <c r="Q16" s="195"/>
      <c r="R16" s="117" t="s">
        <v>111</v>
      </c>
      <c r="S16" s="117"/>
      <c r="T16" s="117"/>
      <c r="U16" s="117"/>
      <c r="V16" s="108"/>
      <c r="W16" s="163"/>
    </row>
    <row r="17">
      <c r="A17" s="195"/>
      <c r="B17" s="117" t="s">
        <v>111</v>
      </c>
      <c r="C17" s="117"/>
      <c r="D17" s="117"/>
      <c r="E17" s="117"/>
      <c r="F17" s="108"/>
      <c r="G17" s="163"/>
      <c r="I17" s="195"/>
      <c r="J17" s="117" t="s">
        <v>151</v>
      </c>
      <c r="K17" s="117"/>
      <c r="L17" s="117"/>
      <c r="M17" s="117"/>
      <c r="N17" s="108"/>
      <c r="O17" s="163"/>
      <c r="Q17" s="195"/>
      <c r="R17" s="117" t="s">
        <v>111</v>
      </c>
      <c r="S17" s="117"/>
      <c r="T17" s="117"/>
      <c r="U17" s="117"/>
      <c r="V17" s="108"/>
      <c r="W17" s="163"/>
    </row>
    <row r="18">
      <c r="A18" s="195"/>
      <c r="B18" s="117" t="s">
        <v>111</v>
      </c>
      <c r="C18" s="117"/>
      <c r="D18" s="117"/>
      <c r="E18" s="117"/>
      <c r="F18" s="108"/>
      <c r="G18" s="163"/>
      <c r="I18" s="195"/>
      <c r="J18" s="117" t="s">
        <v>152</v>
      </c>
      <c r="K18" s="117"/>
      <c r="L18" s="117"/>
      <c r="M18" s="117"/>
      <c r="N18" s="108"/>
      <c r="O18" s="163"/>
      <c r="Q18" s="195"/>
      <c r="R18" s="117" t="s">
        <v>111</v>
      </c>
      <c r="S18" s="117"/>
      <c r="T18" s="117"/>
      <c r="U18" s="117"/>
      <c r="V18" s="108"/>
      <c r="W18" s="163"/>
    </row>
    <row r="19">
      <c r="A19" s="195"/>
      <c r="B19" s="117" t="s">
        <v>111</v>
      </c>
      <c r="C19" s="117"/>
      <c r="D19" s="117"/>
      <c r="E19" s="117"/>
      <c r="F19" s="108"/>
      <c r="G19" s="163"/>
      <c r="I19" s="195"/>
      <c r="J19" s="117" t="s">
        <v>153</v>
      </c>
      <c r="K19" s="117"/>
      <c r="L19" s="117"/>
      <c r="M19" s="117"/>
      <c r="N19" s="108"/>
      <c r="O19" s="163"/>
      <c r="Q19" s="195"/>
      <c r="R19" s="117" t="s">
        <v>111</v>
      </c>
      <c r="S19" s="117"/>
      <c r="T19" s="117"/>
      <c r="U19" s="117"/>
      <c r="V19" s="108"/>
      <c r="W19" s="163"/>
    </row>
    <row r="20">
      <c r="A20" s="195"/>
      <c r="B20" s="117" t="s">
        <v>96</v>
      </c>
      <c r="C20" s="117"/>
      <c r="D20" s="117"/>
      <c r="E20" s="117"/>
      <c r="F20" s="108"/>
      <c r="G20" s="163"/>
      <c r="I20" s="195"/>
      <c r="J20" s="117" t="s">
        <v>154</v>
      </c>
      <c r="K20" s="117"/>
      <c r="L20" s="117"/>
      <c r="M20" s="117"/>
      <c r="N20" s="108"/>
      <c r="O20" s="163"/>
      <c r="Q20" s="195"/>
      <c r="R20" s="117" t="s">
        <v>96</v>
      </c>
      <c r="S20" s="117"/>
      <c r="T20" s="117"/>
      <c r="U20" s="117"/>
      <c r="V20" s="108"/>
      <c r="W20" s="163"/>
    </row>
    <row r="21">
      <c r="A21" s="195"/>
      <c r="B21" s="183" t="s">
        <v>96</v>
      </c>
      <c r="C21" s="183"/>
      <c r="D21" s="183"/>
      <c r="E21" s="183"/>
      <c r="F21" s="108"/>
      <c r="G21" s="163"/>
      <c r="I21" s="195"/>
      <c r="J21" s="183" t="s">
        <v>155</v>
      </c>
      <c r="K21" s="183"/>
      <c r="L21" s="183"/>
      <c r="M21" s="183"/>
      <c r="N21" s="108"/>
      <c r="O21" s="163"/>
      <c r="Q21" s="195"/>
      <c r="R21" s="183" t="s">
        <v>96</v>
      </c>
      <c r="S21" s="183"/>
      <c r="T21" s="183"/>
      <c r="U21" s="183"/>
      <c r="V21" s="108"/>
      <c r="W21" s="163"/>
    </row>
    <row r="22">
      <c r="A22" s="195"/>
      <c r="B22" s="183" t="s">
        <v>96</v>
      </c>
      <c r="C22" s="183"/>
      <c r="D22" s="183"/>
      <c r="E22" s="183"/>
      <c r="F22" s="108"/>
      <c r="G22" s="163"/>
      <c r="I22" s="195"/>
      <c r="J22" s="183" t="s">
        <v>156</v>
      </c>
      <c r="K22" s="183"/>
      <c r="L22" s="183"/>
      <c r="M22" s="183"/>
      <c r="N22" s="108"/>
      <c r="O22" s="163"/>
      <c r="Q22" s="195"/>
      <c r="R22" s="183" t="s">
        <v>96</v>
      </c>
      <c r="S22" s="183"/>
      <c r="T22" s="183"/>
      <c r="U22" s="183"/>
      <c r="V22" s="108"/>
      <c r="W22" s="163"/>
    </row>
    <row r="23">
      <c r="A23" s="195"/>
      <c r="B23" s="183" t="s">
        <v>96</v>
      </c>
      <c r="C23" s="183"/>
      <c r="D23" s="183"/>
      <c r="E23" s="183"/>
      <c r="F23" s="108"/>
      <c r="G23" s="163"/>
      <c r="I23" s="195"/>
      <c r="J23" s="183" t="s">
        <v>157</v>
      </c>
      <c r="K23" s="183"/>
      <c r="L23" s="183"/>
      <c r="M23" s="183"/>
      <c r="N23" s="108"/>
      <c r="O23" s="163"/>
      <c r="Q23" s="195"/>
      <c r="R23" s="183" t="s">
        <v>96</v>
      </c>
      <c r="S23" s="183"/>
      <c r="T23" s="183"/>
      <c r="U23" s="183"/>
      <c r="V23" s="108"/>
      <c r="W23" s="163"/>
    </row>
    <row r="24">
      <c r="A24" s="195"/>
      <c r="B24" s="183" t="s">
        <v>96</v>
      </c>
      <c r="C24" s="183"/>
      <c r="D24" s="183"/>
      <c r="E24" s="183"/>
      <c r="F24" s="108"/>
      <c r="G24" s="163"/>
      <c r="I24" s="195"/>
      <c r="J24" s="183" t="s">
        <v>158</v>
      </c>
      <c r="K24" s="183"/>
      <c r="L24" s="183"/>
      <c r="M24" s="183"/>
      <c r="N24" s="108"/>
      <c r="O24" s="163"/>
      <c r="Q24" s="195"/>
      <c r="R24" s="183" t="s">
        <v>96</v>
      </c>
      <c r="S24" s="183"/>
      <c r="T24" s="183"/>
      <c r="U24" s="183"/>
      <c r="V24" s="108"/>
      <c r="W24" s="163"/>
    </row>
    <row r="25">
      <c r="A25" s="195"/>
      <c r="B25" s="183" t="s">
        <v>96</v>
      </c>
      <c r="C25" s="183"/>
      <c r="D25" s="183"/>
      <c r="E25" s="183"/>
      <c r="F25" s="112"/>
      <c r="G25" s="164"/>
      <c r="I25" s="195"/>
      <c r="J25" s="183" t="s">
        <v>159</v>
      </c>
      <c r="K25" s="183"/>
      <c r="L25" s="183"/>
      <c r="M25" s="183"/>
      <c r="N25" s="112"/>
      <c r="O25" s="164"/>
      <c r="Q25" s="195"/>
      <c r="R25" s="183" t="s">
        <v>96</v>
      </c>
      <c r="S25" s="183"/>
      <c r="T25" s="183"/>
      <c r="U25" s="183"/>
      <c r="V25" s="112"/>
      <c r="W25" s="164"/>
    </row>
    <row r="26">
      <c r="A26" s="196"/>
      <c r="B26" s="166" t="s">
        <v>98</v>
      </c>
      <c r="C26" s="166"/>
      <c r="D26" s="166"/>
      <c r="E26" s="166"/>
      <c r="F26" s="166"/>
      <c r="G26" s="168" t="e">
        <f>SUM(G3:G13)</f>
        <v>#DIV/0!</v>
      </c>
      <c r="I26" s="196"/>
      <c r="J26" s="166" t="s">
        <v>98</v>
      </c>
      <c r="K26" s="166"/>
      <c r="L26" s="166"/>
      <c r="M26" s="166"/>
      <c r="N26" s="166"/>
      <c r="O26" s="160" t="e">
        <f>SUM(O3:O13)</f>
        <v>#DIV/0!</v>
      </c>
      <c r="Q26" s="196"/>
      <c r="R26" s="166" t="s">
        <v>98</v>
      </c>
      <c r="S26" s="166"/>
      <c r="T26" s="166"/>
      <c r="U26" s="166"/>
      <c r="V26" s="166"/>
      <c r="W26" s="160" t="e">
        <f>SUM(W3:W13)</f>
        <v>#DIV/0!</v>
      </c>
    </row>
    <row r="27">
      <c r="A27" s="150" t="s">
        <v>99</v>
      </c>
      <c r="B27" s="113" t="s">
        <v>86</v>
      </c>
      <c r="C27" s="113"/>
      <c r="D27" s="113"/>
      <c r="E27" s="113"/>
      <c r="F27" s="239">
        <f>'Анализ КБ'!B151</f>
        <v>0</v>
      </c>
      <c r="G27" s="160">
        <f>SUM(F27:F29)</f>
        <v>0</v>
      </c>
      <c r="I27" s="150" t="s">
        <v>99</v>
      </c>
      <c r="J27" s="113" t="s">
        <v>86</v>
      </c>
      <c r="K27" s="113"/>
      <c r="L27" s="113"/>
      <c r="M27" s="113"/>
      <c r="N27" s="239">
        <f>'Анализ КБ'!K151</f>
        <v>0</v>
      </c>
      <c r="O27" s="160">
        <f>SUM(N27:N29)</f>
        <v>0</v>
      </c>
      <c r="Q27" s="150" t="s">
        <v>99</v>
      </c>
      <c r="R27" s="113" t="s">
        <v>86</v>
      </c>
      <c r="S27" s="113"/>
      <c r="T27" s="113"/>
      <c r="U27" s="113"/>
      <c r="V27" s="239">
        <f>'Анализ КБ'!T151</f>
        <v>0</v>
      </c>
      <c r="W27" s="160">
        <f>SUM(V27:V29)</f>
        <v>0</v>
      </c>
    </row>
    <row r="28">
      <c r="A28" s="151"/>
      <c r="B28" s="117" t="s">
        <v>101</v>
      </c>
      <c r="C28" s="117"/>
      <c r="D28" s="117"/>
      <c r="E28" s="117"/>
      <c r="G28" s="160"/>
      <c r="I28" s="151"/>
      <c r="J28" s="117" t="s">
        <v>101</v>
      </c>
      <c r="K28" s="117"/>
      <c r="L28" s="117"/>
      <c r="M28" s="117"/>
      <c r="O28" s="160"/>
      <c r="Q28" s="151"/>
      <c r="R28" s="117" t="s">
        <v>101</v>
      </c>
      <c r="S28" s="117"/>
      <c r="T28" s="117"/>
      <c r="U28" s="117"/>
      <c r="W28" s="160"/>
    </row>
    <row r="29">
      <c r="A29" s="152"/>
      <c r="B29" s="140" t="s">
        <v>101</v>
      </c>
      <c r="C29" s="140"/>
      <c r="D29" s="140"/>
      <c r="E29" s="140"/>
      <c r="F29" s="111"/>
      <c r="G29" s="160"/>
      <c r="I29" s="152"/>
      <c r="J29" s="140" t="s">
        <v>101</v>
      </c>
      <c r="K29" s="140"/>
      <c r="L29" s="140"/>
      <c r="M29" s="140"/>
      <c r="N29" s="111"/>
      <c r="O29" s="160"/>
      <c r="Q29" s="152"/>
      <c r="R29" s="140" t="s">
        <v>101</v>
      </c>
      <c r="S29" s="140"/>
      <c r="T29" s="140"/>
      <c r="U29" s="140"/>
      <c r="V29" s="111"/>
      <c r="W29" s="160"/>
    </row>
    <row r="30">
      <c r="A30" s="153" t="s">
        <v>102</v>
      </c>
      <c r="B30" s="133" t="s">
        <v>103</v>
      </c>
      <c r="C30" s="133"/>
      <c r="D30" s="133"/>
      <c r="E30" s="133"/>
      <c r="F30" s="133"/>
      <c r="G30" s="173" t="e">
        <f>G27-G26</f>
        <v>#DIV/0!</v>
      </c>
      <c r="I30" s="153" t="s">
        <v>102</v>
      </c>
      <c r="J30" s="133" t="s">
        <v>103</v>
      </c>
      <c r="K30" s="133"/>
      <c r="L30" s="133"/>
      <c r="M30" s="133"/>
      <c r="N30" s="133"/>
      <c r="O30" s="218" t="e">
        <f>O27-O26</f>
        <v>#DIV/0!</v>
      </c>
      <c r="Q30" s="153" t="s">
        <v>102</v>
      </c>
      <c r="R30" s="133" t="s">
        <v>103</v>
      </c>
      <c r="S30" s="133"/>
      <c r="T30" s="133"/>
      <c r="U30" s="133"/>
      <c r="V30" s="133"/>
      <c r="W30" s="218" t="e">
        <f>W27-W26</f>
        <v>#DIV/0!</v>
      </c>
    </row>
    <row r="31">
      <c r="A31" s="153" t="s">
        <v>112</v>
      </c>
      <c r="B31" s="133" t="s">
        <v>105</v>
      </c>
      <c r="C31" s="133"/>
      <c r="D31" s="133"/>
      <c r="E31" s="133"/>
      <c r="F31" s="133"/>
      <c r="G31" s="173" t="e">
        <f>G30/G27*100</f>
        <v>#DIV/0!</v>
      </c>
      <c r="I31" s="153" t="s">
        <v>112</v>
      </c>
      <c r="J31" s="133" t="s">
        <v>105</v>
      </c>
      <c r="K31" s="133"/>
      <c r="L31" s="133"/>
      <c r="M31" s="133"/>
      <c r="N31" s="133"/>
      <c r="O31" s="218" t="e">
        <f>O30/O27*100</f>
        <v>#DIV/0!</v>
      </c>
      <c r="Q31" s="153" t="s">
        <v>112</v>
      </c>
      <c r="R31" s="133" t="s">
        <v>105</v>
      </c>
      <c r="S31" s="133"/>
      <c r="T31" s="133"/>
      <c r="U31" s="133"/>
      <c r="V31" s="133"/>
      <c r="W31" s="218" t="e">
        <f>W30/W27*100</f>
        <v>#DIV/0!</v>
      </c>
    </row>
    <row r="32">
      <c r="A32" s="153" t="s">
        <v>106</v>
      </c>
      <c r="B32" s="133" t="s">
        <v>107</v>
      </c>
      <c r="C32" s="133"/>
      <c r="D32" s="133"/>
      <c r="E32" s="133"/>
      <c r="F32" s="133"/>
      <c r="G32" s="173" t="e">
        <f>G27/SUM(D3:D12)</f>
        <v>#DIV/0!</v>
      </c>
      <c r="I32" s="153" t="s">
        <v>106</v>
      </c>
      <c r="J32" s="133" t="s">
        <v>107</v>
      </c>
      <c r="K32" s="133"/>
      <c r="L32" s="133"/>
      <c r="M32" s="133"/>
      <c r="N32" s="133"/>
      <c r="O32" s="218" t="e">
        <f>O27/SUM(L3:L12)</f>
        <v>#DIV/0!</v>
      </c>
      <c r="Q32" s="153" t="s">
        <v>106</v>
      </c>
      <c r="R32" s="133" t="s">
        <v>107</v>
      </c>
      <c r="S32" s="133"/>
      <c r="T32" s="133"/>
      <c r="U32" s="133"/>
      <c r="V32" s="133"/>
      <c r="W32" s="218" t="e">
        <f>W27/SUM(T3:T12)</f>
        <v>#DIV/0!</v>
      </c>
    </row>
    <row r="33">
      <c r="A33" s="154" t="s">
        <v>113</v>
      </c>
      <c r="B33" s="135" t="s">
        <v>118</v>
      </c>
      <c r="C33" s="135"/>
      <c r="D33" s="135"/>
      <c r="E33" s="135"/>
      <c r="F33" s="135"/>
      <c r="G33" s="199" t="e">
        <f>G30/SUM(C3:C12)</f>
        <v>#DIV/0!</v>
      </c>
      <c r="I33" s="154" t="s">
        <v>113</v>
      </c>
      <c r="J33" s="135" t="s">
        <v>118</v>
      </c>
      <c r="K33" s="135"/>
      <c r="L33" s="135"/>
      <c r="M33" s="135"/>
      <c r="N33" s="135"/>
      <c r="O33" s="199" t="e">
        <f>O30/SUM(K3:K12)</f>
        <v>#DIV/0!</v>
      </c>
      <c r="Q33" s="154" t="s">
        <v>113</v>
      </c>
      <c r="R33" s="135" t="s">
        <v>118</v>
      </c>
      <c r="S33" s="135"/>
      <c r="T33" s="135"/>
      <c r="U33" s="135"/>
      <c r="V33" s="135"/>
      <c r="W33" s="199" t="e">
        <f>W30/SUM(S3:S12)</f>
        <v>#DIV/0!</v>
      </c>
    </row>
    <row r="35">
      <c r="A35" s="194" t="s">
        <v>84</v>
      </c>
      <c r="B35" s="147" t="s">
        <v>135</v>
      </c>
      <c r="C35" s="147"/>
      <c r="D35" s="148"/>
      <c r="E35" s="148"/>
      <c r="F35" s="148"/>
      <c r="G35" s="149"/>
      <c r="I35" s="194" t="s">
        <v>84</v>
      </c>
      <c r="J35" s="147" t="s">
        <v>139</v>
      </c>
      <c r="K35" s="147"/>
      <c r="L35" s="148"/>
      <c r="M35" s="148"/>
      <c r="N35" s="148"/>
      <c r="O35" s="149"/>
      <c r="Q35" s="194" t="s">
        <v>84</v>
      </c>
      <c r="R35" s="147" t="s">
        <v>143</v>
      </c>
      <c r="S35" s="147"/>
      <c r="T35" s="148"/>
      <c r="U35" s="148"/>
      <c r="V35" s="148"/>
      <c r="W35" s="149"/>
    </row>
    <row r="36">
      <c r="A36" s="195"/>
      <c r="B36" s="99" t="s">
        <v>109</v>
      </c>
      <c r="C36" s="99" t="s">
        <v>114</v>
      </c>
      <c r="D36" s="99" t="s">
        <v>87</v>
      </c>
      <c r="E36" s="99" t="s">
        <v>88</v>
      </c>
      <c r="F36" s="99" t="s">
        <v>10</v>
      </c>
      <c r="G36" s="107" t="s">
        <v>72</v>
      </c>
      <c r="I36" s="195"/>
      <c r="J36" s="99" t="s">
        <v>109</v>
      </c>
      <c r="K36" s="99" t="s">
        <v>114</v>
      </c>
      <c r="L36" s="99" t="s">
        <v>87</v>
      </c>
      <c r="M36" s="99" t="s">
        <v>88</v>
      </c>
      <c r="N36" s="99" t="s">
        <v>10</v>
      </c>
      <c r="O36" s="107" t="s">
        <v>72</v>
      </c>
      <c r="Q36" s="195"/>
      <c r="R36" s="99" t="s">
        <v>109</v>
      </c>
      <c r="S36" s="99" t="s">
        <v>114</v>
      </c>
      <c r="T36" s="99" t="s">
        <v>87</v>
      </c>
      <c r="U36" s="99" t="s">
        <v>88</v>
      </c>
      <c r="V36" s="99" t="s">
        <v>10</v>
      </c>
      <c r="W36" s="107" t="s">
        <v>72</v>
      </c>
    </row>
    <row r="37">
      <c r="A37" s="195"/>
      <c r="B37" s="159" t="str">
        <f>'Себестоимость'!D1</f>
        <v>Услуга 1</v>
      </c>
      <c r="C37" s="45">
        <f>D3*'Прайс'!B3</f>
        <v>0</v>
      </c>
      <c r="D37" s="108"/>
      <c r="E37" s="159" t="e">
        <f>'Себестоимость'!D60</f>
        <v>#DIV/0!</v>
      </c>
      <c r="F37" s="159" t="e">
        <f>D37*E37</f>
        <v>#DIV/0!</v>
      </c>
      <c r="G37" s="160" t="e">
        <f>SUM(F37:F46)</f>
        <v>#DIV/0!</v>
      </c>
      <c r="I37" s="195"/>
      <c r="J37" s="159" t="str">
        <f>'Себестоимость'!D1</f>
        <v>Услуга 1</v>
      </c>
      <c r="K37" s="45">
        <f>D3*'Прайс'!B3</f>
        <v>0</v>
      </c>
      <c r="L37" s="108"/>
      <c r="M37" s="219" t="e">
        <f>'Себестоимость'!D60</f>
        <v>#DIV/0!</v>
      </c>
      <c r="N37" s="159" t="e">
        <f>L37*M37</f>
        <v>#DIV/0!</v>
      </c>
      <c r="O37" s="160" t="e">
        <f>SUM(N37:N46)</f>
        <v>#DIV/0!</v>
      </c>
      <c r="Q37" s="195"/>
      <c r="R37" s="159" t="str">
        <f>'Себестоимость'!D1</f>
        <v>Услуга 1</v>
      </c>
      <c r="S37" s="45">
        <f>D3*'Прайс'!B3</f>
        <v>0</v>
      </c>
      <c r="T37" s="108"/>
      <c r="U37" s="159" t="e">
        <f>'Себестоимость'!D60</f>
        <v>#DIV/0!</v>
      </c>
      <c r="V37" s="159" t="e">
        <f>T37*U37</f>
        <v>#DIV/0!</v>
      </c>
      <c r="W37" s="160" t="e">
        <f>SUM(V37:V46)</f>
        <v>#DIV/0!</v>
      </c>
    </row>
    <row r="38">
      <c r="A38" s="195"/>
      <c r="B38" s="159" t="str">
        <f>'Себестоимость'!F1</f>
        <v>Услуга 2</v>
      </c>
      <c r="C38" s="45">
        <f>D4*'Прайс'!B4</f>
        <v>0</v>
      </c>
      <c r="D38" s="108"/>
      <c r="E38" s="159" t="e">
        <f>'Себестоимость'!F60</f>
        <v>#DIV/0!</v>
      </c>
      <c r="F38" s="159" t="e">
        <f>D38*E38</f>
        <v>#DIV/0!</v>
      </c>
      <c r="G38" s="160"/>
      <c r="I38" s="195"/>
      <c r="J38" s="159" t="str">
        <f>'Себестоимость'!F1</f>
        <v>Услуга 2</v>
      </c>
      <c r="K38" s="45">
        <f>D4*'Прайс'!B4</f>
        <v>0</v>
      </c>
      <c r="L38" s="108"/>
      <c r="M38" s="159" t="e">
        <f>'Себестоимость'!F60</f>
        <v>#DIV/0!</v>
      </c>
      <c r="N38" s="159" t="e">
        <f>L38*M38</f>
        <v>#DIV/0!</v>
      </c>
      <c r="O38" s="160"/>
      <c r="Q38" s="195"/>
      <c r="R38" s="159" t="str">
        <f>'Себестоимость'!F1</f>
        <v>Услуга 2</v>
      </c>
      <c r="S38" s="45">
        <f>D4*'Прайс'!B4</f>
        <v>0</v>
      </c>
      <c r="T38" s="108"/>
      <c r="U38" s="159" t="e">
        <f>'Себестоимость'!F60</f>
        <v>#DIV/0!</v>
      </c>
      <c r="V38" s="159" t="e">
        <f>T38*U38</f>
        <v>#DIV/0!</v>
      </c>
      <c r="W38" s="160"/>
    </row>
    <row r="39">
      <c r="A39" s="195"/>
      <c r="B39" s="159" t="str">
        <f>'Себестоимость'!H1</f>
        <v>Услуга 3</v>
      </c>
      <c r="C39" s="45">
        <f>D5*'Прайс'!B5</f>
        <v>0</v>
      </c>
      <c r="D39" s="108"/>
      <c r="E39" s="159" t="e">
        <f>'Себестоимость'!H60</f>
        <v>#DIV/0!</v>
      </c>
      <c r="F39" s="159" t="e">
        <f>D39*E39</f>
        <v>#DIV/0!</v>
      </c>
      <c r="G39" s="160"/>
      <c r="I39" s="195"/>
      <c r="J39" s="159" t="str">
        <f>'Себестоимость'!H1</f>
        <v>Услуга 3</v>
      </c>
      <c r="K39" s="45">
        <f>D5*'Прайс'!B5</f>
        <v>0</v>
      </c>
      <c r="L39" s="108"/>
      <c r="M39" s="159" t="e">
        <f>'Себестоимость'!H60</f>
        <v>#DIV/0!</v>
      </c>
      <c r="N39" s="159" t="e">
        <f>L39*M39</f>
        <v>#DIV/0!</v>
      </c>
      <c r="O39" s="160"/>
      <c r="Q39" s="195"/>
      <c r="R39" s="159" t="str">
        <f>'Себестоимость'!H1</f>
        <v>Услуга 3</v>
      </c>
      <c r="S39" s="45">
        <f>D5*'Прайс'!B5</f>
        <v>0</v>
      </c>
      <c r="T39" s="108"/>
      <c r="U39" s="159" t="e">
        <f>'Себестоимость'!H60</f>
        <v>#DIV/0!</v>
      </c>
      <c r="V39" s="159" t="e">
        <f>T39*U39</f>
        <v>#DIV/0!</v>
      </c>
      <c r="W39" s="160"/>
    </row>
    <row r="40">
      <c r="A40" s="195"/>
      <c r="B40" s="176" t="str">
        <f>'Себестоимость'!J1</f>
        <v>Услуга 4</v>
      </c>
      <c r="C40" s="45">
        <f>D6*'Прайс'!B6</f>
        <v>0</v>
      </c>
      <c r="D40" s="108"/>
      <c r="E40" s="159" t="e">
        <f>'Себестоимость'!J60</f>
        <v>#DIV/0!</v>
      </c>
      <c r="F40" s="159" t="e">
        <f>D40*E40</f>
        <v>#DIV/0!</v>
      </c>
      <c r="G40" s="160"/>
      <c r="I40" s="195"/>
      <c r="J40" s="176" t="str">
        <f>'Себестоимость'!J1</f>
        <v>Услуга 4</v>
      </c>
      <c r="K40" s="45">
        <f>D6*'Прайс'!B6</f>
        <v>0</v>
      </c>
      <c r="L40" s="108"/>
      <c r="M40" s="159" t="e">
        <f>'Себестоимость'!J60</f>
        <v>#DIV/0!</v>
      </c>
      <c r="N40" s="159" t="e">
        <f>L40*M40</f>
        <v>#DIV/0!</v>
      </c>
      <c r="O40" s="160"/>
      <c r="Q40" s="195"/>
      <c r="R40" s="176" t="str">
        <f>'Себестоимость'!J1</f>
        <v>Услуга 4</v>
      </c>
      <c r="S40" s="45">
        <f>D6*'Прайс'!B6</f>
        <v>0</v>
      </c>
      <c r="T40" s="108"/>
      <c r="U40" s="159" t="e">
        <f>'Себестоимость'!J60</f>
        <v>#DIV/0!</v>
      </c>
      <c r="V40" s="159" t="e">
        <f>T40*U40</f>
        <v>#DIV/0!</v>
      </c>
      <c r="W40" s="160"/>
    </row>
    <row r="41">
      <c r="A41" s="195"/>
      <c r="B41" s="176" t="str">
        <f>'Себестоимость'!L1</f>
        <v>Услуга 5</v>
      </c>
      <c r="C41" s="45">
        <f>D7*'Прайс'!B7</f>
        <v>0</v>
      </c>
      <c r="D41" s="108"/>
      <c r="E41" s="159" t="e">
        <f>'Себестоимость'!L60</f>
        <v>#DIV/0!</v>
      </c>
      <c r="F41" s="159" t="e">
        <f>D41*E41</f>
        <v>#DIV/0!</v>
      </c>
      <c r="G41" s="160"/>
      <c r="I41" s="195"/>
      <c r="J41" s="176" t="str">
        <f>'Себестоимость'!L1</f>
        <v>Услуга 5</v>
      </c>
      <c r="K41" s="45">
        <f>D7*'Прайс'!B7</f>
        <v>0</v>
      </c>
      <c r="L41" s="108"/>
      <c r="M41" s="159" t="e">
        <f>'Себестоимость'!L60</f>
        <v>#DIV/0!</v>
      </c>
      <c r="N41" s="159" t="e">
        <f>L41*M41</f>
        <v>#DIV/0!</v>
      </c>
      <c r="O41" s="160"/>
      <c r="Q41" s="195"/>
      <c r="R41" s="176" t="str">
        <f>'Себестоимость'!L1</f>
        <v>Услуга 5</v>
      </c>
      <c r="S41" s="45">
        <f>D7*'Прайс'!B7</f>
        <v>0</v>
      </c>
      <c r="T41" s="108"/>
      <c r="U41" s="159" t="e">
        <f>'Себестоимость'!L60</f>
        <v>#DIV/0!</v>
      </c>
      <c r="V41" s="159" t="e">
        <f>T41*U41</f>
        <v>#DIV/0!</v>
      </c>
      <c r="W41" s="160"/>
    </row>
    <row r="42">
      <c r="A42" s="195"/>
      <c r="B42" s="176" t="str">
        <f>'Себестоимость'!N1</f>
        <v>Услуга 6</v>
      </c>
      <c r="C42" s="45">
        <f>D8*'Прайс'!B8</f>
        <v>0</v>
      </c>
      <c r="D42" s="108"/>
      <c r="E42" s="159" t="e">
        <f>'Себестоимость'!N60</f>
        <v>#DIV/0!</v>
      </c>
      <c r="F42" s="159" t="e">
        <f>D42*E42</f>
        <v>#DIV/0!</v>
      </c>
      <c r="G42" s="160"/>
      <c r="I42" s="195"/>
      <c r="J42" s="176" t="str">
        <f>'Себестоимость'!N1</f>
        <v>Услуга 6</v>
      </c>
      <c r="K42" s="45">
        <f>D8*'Прайс'!B8</f>
        <v>0</v>
      </c>
      <c r="L42" s="108"/>
      <c r="M42" s="159" t="e">
        <f>'Себестоимость'!N60</f>
        <v>#DIV/0!</v>
      </c>
      <c r="N42" s="159" t="e">
        <f>L42*M42</f>
        <v>#DIV/0!</v>
      </c>
      <c r="O42" s="160"/>
      <c r="Q42" s="195"/>
      <c r="R42" s="176" t="str">
        <f>'Себестоимость'!N1</f>
        <v>Услуга 6</v>
      </c>
      <c r="S42" s="45">
        <f>D8*'Прайс'!B8</f>
        <v>0</v>
      </c>
      <c r="T42" s="108"/>
      <c r="U42" s="159" t="e">
        <f>'Себестоимость'!N60</f>
        <v>#DIV/0!</v>
      </c>
      <c r="V42" s="159" t="e">
        <f>T42*U42</f>
        <v>#DIV/0!</v>
      </c>
      <c r="W42" s="160"/>
    </row>
    <row r="43">
      <c r="A43" s="195"/>
      <c r="B43" s="176" t="str">
        <f>'Себестоимость'!P1</f>
        <v>Услуга 7</v>
      </c>
      <c r="C43" s="45">
        <f>D9*'Прайс'!B9</f>
        <v>0</v>
      </c>
      <c r="D43" s="108"/>
      <c r="E43" s="159" t="e">
        <f>'Себестоимость'!P60</f>
        <v>#DIV/0!</v>
      </c>
      <c r="F43" s="159" t="e">
        <f>D43*E43</f>
        <v>#DIV/0!</v>
      </c>
      <c r="G43" s="160"/>
      <c r="I43" s="195"/>
      <c r="J43" s="176" t="str">
        <f>'Себестоимость'!P1</f>
        <v>Услуга 7</v>
      </c>
      <c r="K43" s="45">
        <f>D9*'Прайс'!B9</f>
        <v>0</v>
      </c>
      <c r="L43" s="108"/>
      <c r="M43" s="159" t="e">
        <f>'Себестоимость'!P60</f>
        <v>#DIV/0!</v>
      </c>
      <c r="N43" s="159" t="e">
        <f>L43*M43</f>
        <v>#DIV/0!</v>
      </c>
      <c r="O43" s="160"/>
      <c r="Q43" s="195"/>
      <c r="R43" s="176" t="str">
        <f>'Себестоимость'!P1</f>
        <v>Услуга 7</v>
      </c>
      <c r="S43" s="45">
        <f>D9*'Прайс'!B9</f>
        <v>0</v>
      </c>
      <c r="T43" s="108"/>
      <c r="U43" s="159" t="e">
        <f>'Себестоимость'!P60</f>
        <v>#DIV/0!</v>
      </c>
      <c r="V43" s="159" t="e">
        <f>T43*U43</f>
        <v>#DIV/0!</v>
      </c>
      <c r="W43" s="160"/>
    </row>
    <row r="44">
      <c r="A44" s="195"/>
      <c r="B44" s="176" t="str">
        <f>'Себестоимость'!R1</f>
        <v>Услуга 8</v>
      </c>
      <c r="C44" s="45">
        <f>D10*'Прайс'!B10</f>
        <v>0</v>
      </c>
      <c r="D44" s="108"/>
      <c r="E44" s="159" t="e">
        <f>'Себестоимость'!R60</f>
        <v>#DIV/0!</v>
      </c>
      <c r="F44" s="159" t="e">
        <f>D44*E44</f>
        <v>#DIV/0!</v>
      </c>
      <c r="G44" s="160"/>
      <c r="I44" s="195"/>
      <c r="J44" s="219" t="str">
        <f>'Себестоимость'!R1</f>
        <v>Услуга 8</v>
      </c>
      <c r="K44" s="45">
        <f>D10*'Прайс'!B10</f>
        <v>0</v>
      </c>
      <c r="L44" s="108"/>
      <c r="M44" s="159" t="e">
        <f>'Себестоимость'!R60</f>
        <v>#DIV/0!</v>
      </c>
      <c r="N44" s="159" t="e">
        <f>L44*M44</f>
        <v>#DIV/0!</v>
      </c>
      <c r="O44" s="160"/>
      <c r="Q44" s="195"/>
      <c r="R44" s="219" t="str">
        <f>'Себестоимость'!R1</f>
        <v>Услуга 8</v>
      </c>
      <c r="S44" s="45">
        <f>D10*'Прайс'!B10</f>
        <v>0</v>
      </c>
      <c r="T44" s="108"/>
      <c r="U44" s="159" t="e">
        <f>'Себестоимость'!R60</f>
        <v>#DIV/0!</v>
      </c>
      <c r="V44" s="159" t="e">
        <f>T44*U44</f>
        <v>#DIV/0!</v>
      </c>
      <c r="W44" s="160"/>
    </row>
    <row r="45">
      <c r="A45" s="195"/>
      <c r="B45" s="219" t="str">
        <f>'Себестоимость'!T1</f>
        <v>Услуга 9</v>
      </c>
      <c r="C45" s="45">
        <f>D11*'Прайс'!B11</f>
        <v>0</v>
      </c>
      <c r="D45" s="108"/>
      <c r="E45" s="159" t="e">
        <f>'Себестоимость'!T60</f>
        <v>#DIV/0!</v>
      </c>
      <c r="F45" s="159" t="e">
        <f>D45*E45</f>
        <v>#DIV/0!</v>
      </c>
      <c r="G45" s="160"/>
      <c r="I45" s="195"/>
      <c r="J45" s="219" t="str">
        <f>'Себестоимость'!T1</f>
        <v>Услуга 9</v>
      </c>
      <c r="K45" s="45">
        <f>D11*'Прайс'!B11</f>
        <v>0</v>
      </c>
      <c r="L45" s="108"/>
      <c r="M45" s="159" t="e">
        <f>'Себестоимость'!T60</f>
        <v>#DIV/0!</v>
      </c>
      <c r="N45" s="159" t="e">
        <f>L45*M45</f>
        <v>#DIV/0!</v>
      </c>
      <c r="O45" s="160"/>
      <c r="Q45" s="195"/>
      <c r="R45" s="219" t="str">
        <f>'Себестоимость'!T1</f>
        <v>Услуга 9</v>
      </c>
      <c r="S45" s="45">
        <f>D11*'Прайс'!B11</f>
        <v>0</v>
      </c>
      <c r="T45" s="108"/>
      <c r="U45" s="159" t="e">
        <f>'Себестоимость'!T60</f>
        <v>#DIV/0!</v>
      </c>
      <c r="V45" s="159" t="e">
        <f>T45*U45</f>
        <v>#DIV/0!</v>
      </c>
      <c r="W45" s="160"/>
    </row>
    <row r="46">
      <c r="A46" s="195"/>
      <c r="B46" s="219" t="str">
        <f>'Себестоимость'!V1</f>
        <v>Услуга 10</v>
      </c>
      <c r="C46" s="45">
        <f>D12*'Прайс'!B12</f>
        <v>0</v>
      </c>
      <c r="D46" s="112"/>
      <c r="E46" s="161" t="e">
        <f>'Себестоимость'!V60</f>
        <v>#DIV/0!</v>
      </c>
      <c r="F46" s="159" t="e">
        <f>D46*E46</f>
        <v>#DIV/0!</v>
      </c>
      <c r="G46" s="160"/>
      <c r="I46" s="195"/>
      <c r="J46" s="219" t="str">
        <f>'Себестоимость'!V1</f>
        <v>Услуга 10</v>
      </c>
      <c r="K46" s="45">
        <f>D12*'Прайс'!B12</f>
        <v>0</v>
      </c>
      <c r="L46" s="112"/>
      <c r="M46" s="161" t="e">
        <f>'Себестоимость'!V60</f>
        <v>#DIV/0!</v>
      </c>
      <c r="N46" s="159" t="e">
        <f>L46*M46</f>
        <v>#DIV/0!</v>
      </c>
      <c r="O46" s="160"/>
      <c r="Q46" s="195"/>
      <c r="R46" s="219" t="str">
        <f>'Себестоимость'!V1</f>
        <v>Услуга 10</v>
      </c>
      <c r="S46" s="45">
        <f>D12*'Прайс'!B12</f>
        <v>0</v>
      </c>
      <c r="T46" s="112"/>
      <c r="U46" s="161" t="e">
        <f>'Себестоимость'!V60</f>
        <v>#DIV/0!</v>
      </c>
      <c r="V46" s="159" t="e">
        <f>T46*U46</f>
        <v>#DIV/0!</v>
      </c>
      <c r="W46" s="160"/>
    </row>
    <row r="47">
      <c r="A47" s="195"/>
      <c r="B47" s="117" t="s">
        <v>111</v>
      </c>
      <c r="C47" s="117"/>
      <c r="D47" s="117"/>
      <c r="E47" s="117"/>
      <c r="F47" s="115"/>
      <c r="G47" s="162">
        <f>SUM(F47:F59)</f>
        <v>0</v>
      </c>
      <c r="I47" s="195"/>
      <c r="J47" s="117" t="s">
        <v>111</v>
      </c>
      <c r="K47" s="117"/>
      <c r="L47" s="117"/>
      <c r="M47" s="117"/>
      <c r="N47" s="115"/>
      <c r="O47" s="162">
        <f>SUM(N47:N59)</f>
        <v>0</v>
      </c>
      <c r="Q47" s="195"/>
      <c r="R47" s="117" t="s">
        <v>111</v>
      </c>
      <c r="S47" s="117"/>
      <c r="T47" s="117"/>
      <c r="U47" s="117"/>
      <c r="V47" s="115"/>
      <c r="W47" s="162">
        <f>SUM(V47:V59)</f>
        <v>0</v>
      </c>
    </row>
    <row r="48">
      <c r="A48" s="195"/>
      <c r="B48" s="117" t="s">
        <v>111</v>
      </c>
      <c r="C48" s="117"/>
      <c r="D48" s="117"/>
      <c r="E48" s="117"/>
      <c r="F48" s="108"/>
      <c r="G48" s="163"/>
      <c r="I48" s="195"/>
      <c r="J48" s="117" t="s">
        <v>111</v>
      </c>
      <c r="K48" s="117"/>
      <c r="L48" s="117"/>
      <c r="M48" s="117"/>
      <c r="N48" s="108"/>
      <c r="O48" s="163"/>
      <c r="Q48" s="195"/>
      <c r="R48" s="117" t="s">
        <v>111</v>
      </c>
      <c r="S48" s="117"/>
      <c r="T48" s="117"/>
      <c r="U48" s="117"/>
      <c r="V48" s="108"/>
      <c r="W48" s="163"/>
    </row>
    <row r="49">
      <c r="A49" s="195"/>
      <c r="B49" s="117" t="s">
        <v>111</v>
      </c>
      <c r="C49" s="117"/>
      <c r="D49" s="117"/>
      <c r="E49" s="117"/>
      <c r="F49" s="108"/>
      <c r="G49" s="163"/>
      <c r="I49" s="195"/>
      <c r="J49" s="117" t="s">
        <v>111</v>
      </c>
      <c r="K49" s="117"/>
      <c r="L49" s="117"/>
      <c r="M49" s="117"/>
      <c r="N49" s="108"/>
      <c r="O49" s="163"/>
      <c r="Q49" s="195"/>
      <c r="R49" s="117" t="s">
        <v>111</v>
      </c>
      <c r="S49" s="117"/>
      <c r="T49" s="117"/>
      <c r="U49" s="117"/>
      <c r="V49" s="108"/>
      <c r="W49" s="163"/>
    </row>
    <row r="50">
      <c r="A50" s="195"/>
      <c r="B50" s="117" t="s">
        <v>111</v>
      </c>
      <c r="C50" s="117"/>
      <c r="D50" s="117"/>
      <c r="E50" s="117"/>
      <c r="F50" s="108"/>
      <c r="G50" s="163"/>
      <c r="I50" s="195"/>
      <c r="J50" s="117" t="s">
        <v>111</v>
      </c>
      <c r="K50" s="117"/>
      <c r="L50" s="117"/>
      <c r="M50" s="117"/>
      <c r="N50" s="108"/>
      <c r="O50" s="163"/>
      <c r="Q50" s="195"/>
      <c r="R50" s="117" t="s">
        <v>111</v>
      </c>
      <c r="S50" s="117"/>
      <c r="T50" s="117"/>
      <c r="U50" s="117"/>
      <c r="V50" s="108"/>
      <c r="W50" s="163"/>
    </row>
    <row r="51">
      <c r="A51" s="195"/>
      <c r="B51" s="117" t="s">
        <v>111</v>
      </c>
      <c r="C51" s="117"/>
      <c r="D51" s="117"/>
      <c r="E51" s="117"/>
      <c r="F51" s="108"/>
      <c r="G51" s="163"/>
      <c r="I51" s="195"/>
      <c r="J51" s="117" t="s">
        <v>111</v>
      </c>
      <c r="K51" s="117"/>
      <c r="L51" s="117"/>
      <c r="M51" s="117"/>
      <c r="N51" s="108"/>
      <c r="O51" s="163"/>
      <c r="Q51" s="195"/>
      <c r="R51" s="117" t="s">
        <v>111</v>
      </c>
      <c r="S51" s="117"/>
      <c r="T51" s="117"/>
      <c r="U51" s="117"/>
      <c r="V51" s="108"/>
      <c r="W51" s="163"/>
    </row>
    <row r="52">
      <c r="A52" s="195"/>
      <c r="B52" s="117" t="s">
        <v>111</v>
      </c>
      <c r="C52" s="117"/>
      <c r="D52" s="117"/>
      <c r="E52" s="117"/>
      <c r="F52" s="108"/>
      <c r="G52" s="163"/>
      <c r="I52" s="195"/>
      <c r="J52" s="117" t="s">
        <v>111</v>
      </c>
      <c r="K52" s="117"/>
      <c r="L52" s="117"/>
      <c r="M52" s="117"/>
      <c r="N52" s="108"/>
      <c r="O52" s="163"/>
      <c r="Q52" s="195"/>
      <c r="R52" s="117" t="s">
        <v>111</v>
      </c>
      <c r="S52" s="117"/>
      <c r="T52" s="117"/>
      <c r="U52" s="117"/>
      <c r="V52" s="108"/>
      <c r="W52" s="163"/>
    </row>
    <row r="53">
      <c r="A53" s="195"/>
      <c r="B53" s="117" t="s">
        <v>111</v>
      </c>
      <c r="C53" s="117"/>
      <c r="D53" s="117"/>
      <c r="E53" s="117"/>
      <c r="F53" s="108"/>
      <c r="G53" s="163"/>
      <c r="I53" s="195"/>
      <c r="J53" s="117" t="s">
        <v>111</v>
      </c>
      <c r="K53" s="117"/>
      <c r="L53" s="117"/>
      <c r="M53" s="117"/>
      <c r="N53" s="108"/>
      <c r="O53" s="163"/>
      <c r="Q53" s="195"/>
      <c r="R53" s="117" t="s">
        <v>111</v>
      </c>
      <c r="S53" s="117"/>
      <c r="T53" s="117"/>
      <c r="U53" s="117"/>
      <c r="V53" s="108"/>
      <c r="W53" s="163"/>
    </row>
    <row r="54">
      <c r="A54" s="195"/>
      <c r="B54" s="117" t="s">
        <v>96</v>
      </c>
      <c r="C54" s="117"/>
      <c r="D54" s="117"/>
      <c r="E54" s="117"/>
      <c r="F54" s="108"/>
      <c r="G54" s="163"/>
      <c r="I54" s="195"/>
      <c r="J54" s="117" t="s">
        <v>96</v>
      </c>
      <c r="K54" s="117"/>
      <c r="L54" s="117"/>
      <c r="M54" s="117"/>
      <c r="N54" s="108"/>
      <c r="O54" s="163"/>
      <c r="Q54" s="195"/>
      <c r="R54" s="117" t="s">
        <v>96</v>
      </c>
      <c r="S54" s="117"/>
      <c r="T54" s="117"/>
      <c r="U54" s="117"/>
      <c r="V54" s="108"/>
      <c r="W54" s="163"/>
    </row>
    <row r="55">
      <c r="A55" s="195"/>
      <c r="B55" s="183" t="s">
        <v>96</v>
      </c>
      <c r="C55" s="183"/>
      <c r="D55" s="183"/>
      <c r="E55" s="183"/>
      <c r="F55" s="108"/>
      <c r="G55" s="163"/>
      <c r="I55" s="195"/>
      <c r="J55" s="183" t="s">
        <v>96</v>
      </c>
      <c r="K55" s="183"/>
      <c r="L55" s="183"/>
      <c r="M55" s="183"/>
      <c r="N55" s="108"/>
      <c r="O55" s="163"/>
      <c r="Q55" s="195"/>
      <c r="R55" s="183" t="s">
        <v>96</v>
      </c>
      <c r="S55" s="183"/>
      <c r="T55" s="183"/>
      <c r="U55" s="183"/>
      <c r="V55" s="108"/>
      <c r="W55" s="163"/>
    </row>
    <row r="56">
      <c r="A56" s="195"/>
      <c r="B56" s="183" t="s">
        <v>96</v>
      </c>
      <c r="C56" s="183"/>
      <c r="D56" s="183"/>
      <c r="E56" s="183"/>
      <c r="F56" s="108"/>
      <c r="G56" s="163"/>
      <c r="I56" s="195"/>
      <c r="J56" s="183" t="s">
        <v>96</v>
      </c>
      <c r="K56" s="183"/>
      <c r="L56" s="183"/>
      <c r="M56" s="183"/>
      <c r="N56" s="108"/>
      <c r="O56" s="163"/>
      <c r="Q56" s="195"/>
      <c r="R56" s="183" t="s">
        <v>96</v>
      </c>
      <c r="S56" s="183"/>
      <c r="T56" s="183"/>
      <c r="U56" s="183"/>
      <c r="V56" s="108"/>
      <c r="W56" s="163"/>
    </row>
    <row r="57">
      <c r="A57" s="195"/>
      <c r="B57" s="183" t="s">
        <v>96</v>
      </c>
      <c r="C57" s="183"/>
      <c r="D57" s="183"/>
      <c r="E57" s="183"/>
      <c r="F57" s="108"/>
      <c r="G57" s="163"/>
      <c r="I57" s="195"/>
      <c r="J57" s="183" t="s">
        <v>96</v>
      </c>
      <c r="K57" s="183"/>
      <c r="L57" s="183"/>
      <c r="M57" s="183"/>
      <c r="N57" s="108"/>
      <c r="O57" s="163"/>
      <c r="Q57" s="195"/>
      <c r="R57" s="183" t="s">
        <v>96</v>
      </c>
      <c r="S57" s="183"/>
      <c r="T57" s="183"/>
      <c r="U57" s="183"/>
      <c r="V57" s="108"/>
      <c r="W57" s="163"/>
    </row>
    <row r="58">
      <c r="A58" s="195"/>
      <c r="B58" s="183" t="s">
        <v>96</v>
      </c>
      <c r="C58" s="183"/>
      <c r="D58" s="183"/>
      <c r="E58" s="183"/>
      <c r="F58" s="108"/>
      <c r="G58" s="163"/>
      <c r="I58" s="195"/>
      <c r="J58" s="183" t="s">
        <v>96</v>
      </c>
      <c r="K58" s="183"/>
      <c r="L58" s="183"/>
      <c r="M58" s="183"/>
      <c r="N58" s="108"/>
      <c r="O58" s="163"/>
      <c r="Q58" s="195"/>
      <c r="R58" s="183" t="s">
        <v>96</v>
      </c>
      <c r="S58" s="183"/>
      <c r="T58" s="183"/>
      <c r="U58" s="183"/>
      <c r="V58" s="108"/>
      <c r="W58" s="163"/>
    </row>
    <row r="59">
      <c r="A59" s="195"/>
      <c r="B59" s="183" t="s">
        <v>96</v>
      </c>
      <c r="C59" s="183"/>
      <c r="D59" s="183"/>
      <c r="E59" s="183"/>
      <c r="F59" s="112"/>
      <c r="G59" s="164"/>
      <c r="I59" s="195"/>
      <c r="J59" s="183" t="s">
        <v>96</v>
      </c>
      <c r="K59" s="183"/>
      <c r="L59" s="183"/>
      <c r="M59" s="183"/>
      <c r="N59" s="112"/>
      <c r="O59" s="164"/>
      <c r="Q59" s="195"/>
      <c r="R59" s="183" t="s">
        <v>96</v>
      </c>
      <c r="S59" s="183"/>
      <c r="T59" s="183"/>
      <c r="U59" s="183"/>
      <c r="V59" s="112"/>
      <c r="W59" s="164"/>
    </row>
    <row r="60">
      <c r="A60" s="196"/>
      <c r="B60" s="166" t="s">
        <v>98</v>
      </c>
      <c r="C60" s="166"/>
      <c r="D60" s="166"/>
      <c r="E60" s="166"/>
      <c r="F60" s="166"/>
      <c r="G60" s="160" t="e">
        <f>SUM(G37:G47)</f>
        <v>#DIV/0!</v>
      </c>
      <c r="I60" s="196"/>
      <c r="J60" s="166" t="s">
        <v>98</v>
      </c>
      <c r="K60" s="166"/>
      <c r="L60" s="166"/>
      <c r="M60" s="166"/>
      <c r="N60" s="166"/>
      <c r="O60" s="160" t="e">
        <f>SUM(O37:O47)</f>
        <v>#DIV/0!</v>
      </c>
      <c r="Q60" s="196"/>
      <c r="R60" s="166" t="s">
        <v>98</v>
      </c>
      <c r="S60" s="166"/>
      <c r="T60" s="166"/>
      <c r="U60" s="166"/>
      <c r="V60" s="166"/>
      <c r="W60" s="160" t="e">
        <f>SUM(W37:W47)</f>
        <v>#DIV/0!</v>
      </c>
    </row>
    <row r="61">
      <c r="A61" s="150" t="s">
        <v>99</v>
      </c>
      <c r="B61" s="113" t="s">
        <v>86</v>
      </c>
      <c r="C61" s="113"/>
      <c r="D61" s="113"/>
      <c r="E61" s="113"/>
      <c r="F61" s="239">
        <f>'Анализ КБ'!D151</f>
        <v>0</v>
      </c>
      <c r="G61" s="160">
        <f>SUM(F61:F63)</f>
        <v>0</v>
      </c>
      <c r="I61" s="150" t="s">
        <v>99</v>
      </c>
      <c r="J61" s="113" t="s">
        <v>86</v>
      </c>
      <c r="K61" s="113"/>
      <c r="L61" s="113"/>
      <c r="M61" s="113"/>
      <c r="N61" s="239">
        <f>'Анализ КБ'!M151</f>
        <v>0</v>
      </c>
      <c r="O61" s="160">
        <f>SUM(N61:N63)</f>
        <v>0</v>
      </c>
      <c r="Q61" s="150" t="s">
        <v>99</v>
      </c>
      <c r="R61" s="113" t="s">
        <v>86</v>
      </c>
      <c r="S61" s="113"/>
      <c r="T61" s="113"/>
      <c r="U61" s="113"/>
      <c r="V61" s="239">
        <f>'Анализ КБ'!W151</f>
        <v>0</v>
      </c>
      <c r="W61" s="160">
        <f>SUM(V61:V63)</f>
        <v>0</v>
      </c>
    </row>
    <row r="62">
      <c r="A62" s="151"/>
      <c r="B62" s="117" t="s">
        <v>101</v>
      </c>
      <c r="C62" s="117"/>
      <c r="D62" s="117"/>
      <c r="E62" s="117"/>
      <c r="G62" s="160"/>
      <c r="I62" s="151"/>
      <c r="J62" s="117" t="s">
        <v>101</v>
      </c>
      <c r="K62" s="117"/>
      <c r="L62" s="117"/>
      <c r="M62" s="117"/>
      <c r="O62" s="160"/>
      <c r="Q62" s="151"/>
      <c r="R62" s="117" t="s">
        <v>101</v>
      </c>
      <c r="S62" s="117"/>
      <c r="T62" s="117"/>
      <c r="U62" s="117"/>
      <c r="W62" s="160"/>
    </row>
    <row r="63">
      <c r="A63" s="152"/>
      <c r="B63" s="140" t="s">
        <v>101</v>
      </c>
      <c r="C63" s="140"/>
      <c r="D63" s="140"/>
      <c r="E63" s="140"/>
      <c r="F63" s="111"/>
      <c r="G63" s="160"/>
      <c r="I63" s="152"/>
      <c r="J63" s="140" t="s">
        <v>101</v>
      </c>
      <c r="K63" s="140"/>
      <c r="L63" s="140"/>
      <c r="M63" s="140"/>
      <c r="N63" s="111"/>
      <c r="O63" s="160"/>
      <c r="Q63" s="152"/>
      <c r="R63" s="140" t="s">
        <v>101</v>
      </c>
      <c r="S63" s="140"/>
      <c r="T63" s="140"/>
      <c r="U63" s="140"/>
      <c r="V63" s="111"/>
      <c r="W63" s="160"/>
    </row>
    <row r="64">
      <c r="A64" s="153" t="s">
        <v>102</v>
      </c>
      <c r="B64" s="133" t="s">
        <v>103</v>
      </c>
      <c r="C64" s="133"/>
      <c r="D64" s="133"/>
      <c r="E64" s="133"/>
      <c r="F64" s="133"/>
      <c r="G64" s="218" t="e">
        <f>G61-G60</f>
        <v>#DIV/0!</v>
      </c>
      <c r="I64" s="153" t="s">
        <v>102</v>
      </c>
      <c r="J64" s="133" t="s">
        <v>103</v>
      </c>
      <c r="K64" s="133"/>
      <c r="L64" s="133"/>
      <c r="M64" s="133"/>
      <c r="N64" s="133"/>
      <c r="O64" s="218" t="e">
        <f>O61-O60</f>
        <v>#DIV/0!</v>
      </c>
      <c r="Q64" s="153" t="s">
        <v>102</v>
      </c>
      <c r="R64" s="133" t="s">
        <v>103</v>
      </c>
      <c r="S64" s="133"/>
      <c r="T64" s="133"/>
      <c r="U64" s="133"/>
      <c r="V64" s="133"/>
      <c r="W64" s="218" t="e">
        <f>W61-W60</f>
        <v>#DIV/0!</v>
      </c>
    </row>
    <row r="65">
      <c r="A65" s="153" t="s">
        <v>112</v>
      </c>
      <c r="B65" s="133" t="s">
        <v>105</v>
      </c>
      <c r="C65" s="133"/>
      <c r="D65" s="133"/>
      <c r="E65" s="133"/>
      <c r="F65" s="133"/>
      <c r="G65" s="218" t="e">
        <f>G64/G61*100</f>
        <v>#DIV/0!</v>
      </c>
      <c r="I65" s="153" t="s">
        <v>112</v>
      </c>
      <c r="J65" s="133" t="s">
        <v>105</v>
      </c>
      <c r="K65" s="133"/>
      <c r="L65" s="133"/>
      <c r="M65" s="133"/>
      <c r="N65" s="133"/>
      <c r="O65" s="218" t="e">
        <f>O64/O61*100</f>
        <v>#DIV/0!</v>
      </c>
      <c r="Q65" s="153" t="s">
        <v>112</v>
      </c>
      <c r="R65" s="133" t="s">
        <v>105</v>
      </c>
      <c r="S65" s="133"/>
      <c r="T65" s="133"/>
      <c r="U65" s="133"/>
      <c r="V65" s="133"/>
      <c r="W65" s="218" t="e">
        <f>W64/W61*100</f>
        <v>#DIV/0!</v>
      </c>
    </row>
    <row r="66">
      <c r="A66" s="153" t="s">
        <v>106</v>
      </c>
      <c r="B66" s="133" t="s">
        <v>107</v>
      </c>
      <c r="C66" s="133"/>
      <c r="D66" s="133"/>
      <c r="E66" s="133"/>
      <c r="F66" s="133"/>
      <c r="G66" s="218" t="e">
        <f>G61/SUM(D37:D46)</f>
        <v>#DIV/0!</v>
      </c>
      <c r="I66" s="153" t="s">
        <v>106</v>
      </c>
      <c r="J66" s="133" t="s">
        <v>107</v>
      </c>
      <c r="K66" s="133"/>
      <c r="L66" s="133"/>
      <c r="M66" s="133"/>
      <c r="N66" s="133"/>
      <c r="O66" s="218" t="e">
        <f>O61/SUM(L37:L46)</f>
        <v>#DIV/0!</v>
      </c>
      <c r="Q66" s="153" t="s">
        <v>106</v>
      </c>
      <c r="R66" s="133" t="s">
        <v>107</v>
      </c>
      <c r="S66" s="133"/>
      <c r="T66" s="133"/>
      <c r="U66" s="133"/>
      <c r="V66" s="133"/>
      <c r="W66" s="218" t="e">
        <f>W61/SUM(T37:T46)</f>
        <v>#DIV/0!</v>
      </c>
    </row>
    <row r="67">
      <c r="A67" s="154" t="s">
        <v>113</v>
      </c>
      <c r="B67" s="135" t="s">
        <v>118</v>
      </c>
      <c r="C67" s="135"/>
      <c r="D67" s="135"/>
      <c r="E67" s="135"/>
      <c r="F67" s="135"/>
      <c r="G67" s="199" t="e">
        <f>G64/SUM(C37:C46)</f>
        <v>#DIV/0!</v>
      </c>
      <c r="I67" s="154" t="s">
        <v>113</v>
      </c>
      <c r="J67" s="135" t="s">
        <v>118</v>
      </c>
      <c r="K67" s="135"/>
      <c r="L67" s="135"/>
      <c r="M67" s="135"/>
      <c r="N67" s="135"/>
      <c r="O67" s="199" t="e">
        <f>O64/SUM(K37:K46)</f>
        <v>#DIV/0!</v>
      </c>
      <c r="Q67" s="154" t="s">
        <v>113</v>
      </c>
      <c r="R67" s="135" t="s">
        <v>118</v>
      </c>
      <c r="S67" s="135"/>
      <c r="T67" s="135"/>
      <c r="U67" s="135"/>
      <c r="V67" s="135"/>
      <c r="W67" s="199" t="e">
        <f>W64/SUM(S37:S46)</f>
        <v>#DIV/0!</v>
      </c>
    </row>
    <row r="69">
      <c r="A69" s="194" t="s">
        <v>84</v>
      </c>
      <c r="B69" s="147" t="s">
        <v>136</v>
      </c>
      <c r="C69" s="147"/>
      <c r="D69" s="148"/>
      <c r="E69" s="148"/>
      <c r="F69" s="148"/>
      <c r="G69" s="149"/>
      <c r="I69" s="194" t="s">
        <v>84</v>
      </c>
      <c r="J69" s="147" t="s">
        <v>140</v>
      </c>
      <c r="K69" s="147"/>
      <c r="L69" s="148"/>
      <c r="M69" s="148"/>
      <c r="N69" s="148"/>
      <c r="O69" s="149"/>
      <c r="Q69" s="194" t="s">
        <v>84</v>
      </c>
      <c r="R69" s="147" t="s">
        <v>144</v>
      </c>
      <c r="S69" s="147"/>
      <c r="T69" s="148"/>
      <c r="U69" s="148"/>
      <c r="V69" s="148"/>
      <c r="W69" s="149"/>
    </row>
    <row r="70">
      <c r="A70" s="195"/>
      <c r="B70" s="99" t="s">
        <v>109</v>
      </c>
      <c r="C70" s="99" t="s">
        <v>114</v>
      </c>
      <c r="D70" s="99" t="s">
        <v>87</v>
      </c>
      <c r="E70" s="99" t="s">
        <v>88</v>
      </c>
      <c r="F70" s="99" t="s">
        <v>10</v>
      </c>
      <c r="G70" s="107" t="s">
        <v>72</v>
      </c>
      <c r="I70" s="195"/>
      <c r="J70" s="99" t="s">
        <v>109</v>
      </c>
      <c r="K70" s="99" t="s">
        <v>114</v>
      </c>
      <c r="L70" s="99" t="s">
        <v>87</v>
      </c>
      <c r="M70" s="99" t="s">
        <v>88</v>
      </c>
      <c r="N70" s="99" t="s">
        <v>10</v>
      </c>
      <c r="O70" s="107" t="s">
        <v>72</v>
      </c>
      <c r="Q70" s="195"/>
      <c r="R70" s="99" t="s">
        <v>109</v>
      </c>
      <c r="S70" s="99" t="s">
        <v>114</v>
      </c>
      <c r="T70" s="99" t="s">
        <v>87</v>
      </c>
      <c r="U70" s="99" t="s">
        <v>88</v>
      </c>
      <c r="V70" s="99" t="s">
        <v>10</v>
      </c>
      <c r="W70" s="107" t="s">
        <v>72</v>
      </c>
    </row>
    <row r="71">
      <c r="A71" s="195"/>
      <c r="B71" s="159" t="str">
        <f>'Себестоимость'!D1</f>
        <v>Услуга 1</v>
      </c>
      <c r="C71" s="45">
        <f>D3*'Прайс'!B3</f>
        <v>0</v>
      </c>
      <c r="D71" s="108"/>
      <c r="E71" s="159" t="e">
        <f>'Себестоимость'!D60</f>
        <v>#DIV/0!</v>
      </c>
      <c r="F71" s="159" t="e">
        <f>D71*E71</f>
        <v>#DIV/0!</v>
      </c>
      <c r="G71" s="160" t="e">
        <f>SUM(F71:F80)</f>
        <v>#DIV/0!</v>
      </c>
      <c r="I71" s="195"/>
      <c r="J71" s="159" t="str">
        <f>'Себестоимость'!D1</f>
        <v>Услуга 1</v>
      </c>
      <c r="K71" s="45">
        <f>D3*'Прайс'!B3</f>
        <v>0</v>
      </c>
      <c r="L71" s="108"/>
      <c r="M71" s="219" t="e">
        <f>'Себестоимость'!D60</f>
        <v>#DIV/0!</v>
      </c>
      <c r="N71" s="159" t="e">
        <f>L71*M71</f>
        <v>#DIV/0!</v>
      </c>
      <c r="O71" s="160" t="e">
        <f>SUM(N71:N80)</f>
        <v>#DIV/0!</v>
      </c>
      <c r="Q71" s="195"/>
      <c r="R71" s="159" t="str">
        <f>'Себестоимость'!D1</f>
        <v>Услуга 1</v>
      </c>
      <c r="S71" s="45">
        <f>D3*'Прайс'!B3</f>
        <v>0</v>
      </c>
      <c r="T71" s="108"/>
      <c r="U71" s="159" t="e">
        <f>'Себестоимость'!D60</f>
        <v>#DIV/0!</v>
      </c>
      <c r="V71" s="159" t="e">
        <f>T71*U71</f>
        <v>#DIV/0!</v>
      </c>
      <c r="W71" s="160" t="e">
        <f>SUM(V71:V80)</f>
        <v>#DIV/0!</v>
      </c>
    </row>
    <row r="72">
      <c r="A72" s="195"/>
      <c r="B72" s="159" t="str">
        <f>'Себестоимость'!F1</f>
        <v>Услуга 2</v>
      </c>
      <c r="C72" s="45">
        <f>D4*'Прайс'!B4</f>
        <v>0</v>
      </c>
      <c r="D72" s="108"/>
      <c r="E72" s="159" t="e">
        <f>'Себестоимость'!F60</f>
        <v>#DIV/0!</v>
      </c>
      <c r="F72" s="159" t="e">
        <f>D72*E72</f>
        <v>#DIV/0!</v>
      </c>
      <c r="G72" s="160"/>
      <c r="I72" s="195"/>
      <c r="J72" s="159" t="str">
        <f>'Себестоимость'!F1</f>
        <v>Услуга 2</v>
      </c>
      <c r="K72" s="45">
        <f>D4*'Прайс'!B4</f>
        <v>0</v>
      </c>
      <c r="L72" s="108"/>
      <c r="M72" s="159" t="e">
        <f>'Себестоимость'!F60</f>
        <v>#DIV/0!</v>
      </c>
      <c r="N72" s="159" t="e">
        <f>L72*M72</f>
        <v>#DIV/0!</v>
      </c>
      <c r="O72" s="160"/>
      <c r="Q72" s="195"/>
      <c r="R72" s="159" t="str">
        <f>'Себестоимость'!F1</f>
        <v>Услуга 2</v>
      </c>
      <c r="S72" s="45">
        <f>D4*'Прайс'!B4</f>
        <v>0</v>
      </c>
      <c r="T72" s="108"/>
      <c r="U72" s="159">
        <f>'Себестоимость'!V128</f>
        <v>0</v>
      </c>
      <c r="V72" s="159">
        <f>T72*U72</f>
        <v>0</v>
      </c>
      <c r="W72" s="160"/>
    </row>
    <row r="73">
      <c r="A73" s="195"/>
      <c r="B73" s="159" t="str">
        <f>'Себестоимость'!H1</f>
        <v>Услуга 3</v>
      </c>
      <c r="C73" s="45">
        <f>D5*'Прайс'!B5</f>
        <v>0</v>
      </c>
      <c r="D73" s="108"/>
      <c r="E73" s="159" t="e">
        <f>'Себестоимость'!H60</f>
        <v>#DIV/0!</v>
      </c>
      <c r="F73" s="159" t="e">
        <f>D73*E73</f>
        <v>#DIV/0!</v>
      </c>
      <c r="G73" s="160"/>
      <c r="I73" s="195"/>
      <c r="J73" s="159" t="str">
        <f>'Себестоимость'!H1</f>
        <v>Услуга 3</v>
      </c>
      <c r="K73" s="45">
        <f>D5*'Прайс'!B5</f>
        <v>0</v>
      </c>
      <c r="L73" s="108"/>
      <c r="M73" s="159" t="e">
        <f>'Себестоимость'!H60</f>
        <v>#DIV/0!</v>
      </c>
      <c r="N73" s="159" t="e">
        <f>L73*M73</f>
        <v>#DIV/0!</v>
      </c>
      <c r="O73" s="160"/>
      <c r="Q73" s="195"/>
      <c r="R73" s="159" t="str">
        <f>'Себестоимость'!H1</f>
        <v>Услуга 3</v>
      </c>
      <c r="S73" s="45">
        <f>D5*'Прайс'!B5</f>
        <v>0</v>
      </c>
      <c r="T73" s="108"/>
      <c r="U73" s="159">
        <f>'Себестоимость'!X128</f>
        <v>0</v>
      </c>
      <c r="V73" s="159">
        <f>T73*U73</f>
        <v>0</v>
      </c>
      <c r="W73" s="160"/>
    </row>
    <row r="74">
      <c r="A74" s="195"/>
      <c r="B74" s="176" t="str">
        <f>'Себестоимость'!J1</f>
        <v>Услуга 4</v>
      </c>
      <c r="C74" s="45">
        <f>D6*'Прайс'!B6</f>
        <v>0</v>
      </c>
      <c r="D74" s="108"/>
      <c r="E74" s="159" t="e">
        <f>'Себестоимость'!J60</f>
        <v>#DIV/0!</v>
      </c>
      <c r="F74" s="159" t="e">
        <f>D74*E74</f>
        <v>#DIV/0!</v>
      </c>
      <c r="G74" s="160"/>
      <c r="I74" s="195"/>
      <c r="J74" s="176" t="str">
        <f>'Себестоимость'!J1</f>
        <v>Услуга 4</v>
      </c>
      <c r="K74" s="45">
        <f>D6*'Прайс'!B6</f>
        <v>0</v>
      </c>
      <c r="L74" s="108"/>
      <c r="M74" s="159" t="e">
        <f>'Себестоимость'!J60</f>
        <v>#DIV/0!</v>
      </c>
      <c r="N74" s="159" t="e">
        <f>L74*M74</f>
        <v>#DIV/0!</v>
      </c>
      <c r="O74" s="160"/>
      <c r="Q74" s="195"/>
      <c r="R74" s="176" t="str">
        <f>'Себестоимость'!J1</f>
        <v>Услуга 4</v>
      </c>
      <c r="S74" s="45">
        <f>D6*'Прайс'!B6</f>
        <v>0</v>
      </c>
      <c r="T74" s="108"/>
      <c r="U74" s="159">
        <f>'Себестоимость'!Z128</f>
        <v>0</v>
      </c>
      <c r="V74" s="159">
        <f>T74*U74</f>
        <v>0</v>
      </c>
      <c r="W74" s="160"/>
    </row>
    <row r="75">
      <c r="A75" s="195"/>
      <c r="B75" s="176" t="str">
        <f>'Себестоимость'!L1</f>
        <v>Услуга 5</v>
      </c>
      <c r="C75" s="45">
        <f>D7*'Прайс'!B7</f>
        <v>0</v>
      </c>
      <c r="D75" s="108"/>
      <c r="E75" s="159" t="e">
        <f>'Себестоимость'!L60</f>
        <v>#DIV/0!</v>
      </c>
      <c r="F75" s="159" t="e">
        <f>D75*E75</f>
        <v>#DIV/0!</v>
      </c>
      <c r="G75" s="160"/>
      <c r="I75" s="195"/>
      <c r="J75" s="176" t="str">
        <f>'Себестоимость'!L1</f>
        <v>Услуга 5</v>
      </c>
      <c r="K75" s="45">
        <f>D7*'Прайс'!B7</f>
        <v>0</v>
      </c>
      <c r="L75" s="108"/>
      <c r="M75" s="159" t="e">
        <f>'Себестоимость'!L60</f>
        <v>#DIV/0!</v>
      </c>
      <c r="N75" s="159" t="e">
        <f>L75*M75</f>
        <v>#DIV/0!</v>
      </c>
      <c r="O75" s="160"/>
      <c r="Q75" s="195"/>
      <c r="R75" s="176" t="str">
        <f>'Себестоимость'!L1</f>
        <v>Услуга 5</v>
      </c>
      <c r="S75" s="45">
        <f>D7*'Прайс'!B7</f>
        <v>0</v>
      </c>
      <c r="T75" s="108"/>
      <c r="U75" s="159">
        <f>'Себестоимость'!AB128</f>
        <v>0</v>
      </c>
      <c r="V75" s="159">
        <f>T75*U75</f>
        <v>0</v>
      </c>
      <c r="W75" s="160"/>
    </row>
    <row r="76">
      <c r="A76" s="195"/>
      <c r="B76" s="176" t="str">
        <f>'Себестоимость'!N1</f>
        <v>Услуга 6</v>
      </c>
      <c r="C76" s="45">
        <f>D8*'Прайс'!B8</f>
        <v>0</v>
      </c>
      <c r="D76" s="108"/>
      <c r="E76" s="159" t="e">
        <f>'Себестоимость'!N60</f>
        <v>#DIV/0!</v>
      </c>
      <c r="F76" s="159" t="e">
        <f>D76*E76</f>
        <v>#DIV/0!</v>
      </c>
      <c r="G76" s="160"/>
      <c r="I76" s="195"/>
      <c r="J76" s="176" t="str">
        <f>'Себестоимость'!N1</f>
        <v>Услуга 6</v>
      </c>
      <c r="K76" s="45">
        <f>D8*'Прайс'!B8</f>
        <v>0</v>
      </c>
      <c r="L76" s="108"/>
      <c r="M76" s="159" t="e">
        <f>'Себестоимость'!N60</f>
        <v>#DIV/0!</v>
      </c>
      <c r="N76" s="159" t="e">
        <f>L76*M76</f>
        <v>#DIV/0!</v>
      </c>
      <c r="O76" s="160"/>
      <c r="Q76" s="195"/>
      <c r="R76" s="176" t="str">
        <f>'Себестоимость'!N1</f>
        <v>Услуга 6</v>
      </c>
      <c r="S76" s="45">
        <f>D8*'Прайс'!B8</f>
        <v>0</v>
      </c>
      <c r="T76" s="108"/>
      <c r="U76" s="159">
        <f>'Себестоимость'!AD128</f>
        <v>0</v>
      </c>
      <c r="V76" s="159">
        <f>T76*U76</f>
        <v>0</v>
      </c>
      <c r="W76" s="160"/>
    </row>
    <row r="77">
      <c r="A77" s="195"/>
      <c r="B77" s="176" t="str">
        <f>'Себестоимость'!P1</f>
        <v>Услуга 7</v>
      </c>
      <c r="C77" s="45">
        <f>D9*'Прайс'!B9</f>
        <v>0</v>
      </c>
      <c r="D77" s="108"/>
      <c r="E77" s="159" t="e">
        <f>'Себестоимость'!P60</f>
        <v>#DIV/0!</v>
      </c>
      <c r="F77" s="159" t="e">
        <f>D77*E77</f>
        <v>#DIV/0!</v>
      </c>
      <c r="G77" s="160"/>
      <c r="I77" s="195"/>
      <c r="J77" s="176" t="str">
        <f>'Себестоимость'!P1</f>
        <v>Услуга 7</v>
      </c>
      <c r="K77" s="45">
        <f>D9*'Прайс'!B9</f>
        <v>0</v>
      </c>
      <c r="L77" s="108"/>
      <c r="M77" s="159" t="e">
        <f>'Себестоимость'!P60</f>
        <v>#DIV/0!</v>
      </c>
      <c r="N77" s="159" t="e">
        <f>L77*M77</f>
        <v>#DIV/0!</v>
      </c>
      <c r="O77" s="160"/>
      <c r="Q77" s="195"/>
      <c r="R77" s="176" t="str">
        <f>'Себестоимость'!P1</f>
        <v>Услуга 7</v>
      </c>
      <c r="S77" s="45">
        <f>D9*'Прайс'!B9</f>
        <v>0</v>
      </c>
      <c r="T77" s="108"/>
      <c r="U77" s="159">
        <f>'Себестоимость'!AF128</f>
        <v>0</v>
      </c>
      <c r="V77" s="159">
        <f>T77*U77</f>
        <v>0</v>
      </c>
      <c r="W77" s="160"/>
    </row>
    <row r="78">
      <c r="A78" s="195"/>
      <c r="B78" s="176" t="str">
        <f>'Себестоимость'!R1</f>
        <v>Услуга 8</v>
      </c>
      <c r="C78" s="45">
        <f>D10*'Прайс'!B10</f>
        <v>0</v>
      </c>
      <c r="D78" s="108"/>
      <c r="E78" s="159" t="e">
        <f>'Себестоимость'!R60</f>
        <v>#DIV/0!</v>
      </c>
      <c r="F78" s="159" t="e">
        <f>D78*E78</f>
        <v>#DIV/0!</v>
      </c>
      <c r="G78" s="160"/>
      <c r="I78" s="195"/>
      <c r="J78" s="219" t="str">
        <f>'Себестоимость'!R1</f>
        <v>Услуга 8</v>
      </c>
      <c r="K78" s="45">
        <f>D10*'Прайс'!B10</f>
        <v>0</v>
      </c>
      <c r="L78" s="108"/>
      <c r="M78" s="159" t="e">
        <f>'Себестоимость'!R60</f>
        <v>#DIV/0!</v>
      </c>
      <c r="N78" s="159" t="e">
        <f>L78*M78</f>
        <v>#DIV/0!</v>
      </c>
      <c r="O78" s="160"/>
      <c r="Q78" s="195"/>
      <c r="R78" s="219" t="str">
        <f>'Себестоимость'!R1</f>
        <v>Услуга 8</v>
      </c>
      <c r="S78" s="45">
        <f>D10*'Прайс'!B10</f>
        <v>0</v>
      </c>
      <c r="T78" s="108"/>
      <c r="U78" s="159">
        <f>'Себестоимость'!AH128</f>
        <v>0</v>
      </c>
      <c r="V78" s="159">
        <f>T78*U78</f>
        <v>0</v>
      </c>
      <c r="W78" s="160"/>
    </row>
    <row r="79">
      <c r="A79" s="195"/>
      <c r="B79" s="219" t="str">
        <f>'Себестоимость'!T1</f>
        <v>Услуга 9</v>
      </c>
      <c r="C79" s="45">
        <f>D11*'Прайс'!B11</f>
        <v>0</v>
      </c>
      <c r="D79" s="108"/>
      <c r="E79" s="159" t="e">
        <f>'Себестоимость'!T60</f>
        <v>#DIV/0!</v>
      </c>
      <c r="F79" s="159" t="e">
        <f>D79*E79</f>
        <v>#DIV/0!</v>
      </c>
      <c r="G79" s="160"/>
      <c r="I79" s="195"/>
      <c r="J79" s="219" t="str">
        <f>'Себестоимость'!T1</f>
        <v>Услуга 9</v>
      </c>
      <c r="K79" s="45">
        <f>D11*'Прайс'!B11</f>
        <v>0</v>
      </c>
      <c r="L79" s="108"/>
      <c r="M79" s="159" t="e">
        <f>'Себестоимость'!T60</f>
        <v>#DIV/0!</v>
      </c>
      <c r="N79" s="159" t="e">
        <f>L79*M79</f>
        <v>#DIV/0!</v>
      </c>
      <c r="O79" s="160"/>
      <c r="Q79" s="195"/>
      <c r="R79" s="219" t="str">
        <f>'Себестоимость'!T1</f>
        <v>Услуга 9</v>
      </c>
      <c r="S79" s="45">
        <f>D11*'Прайс'!B11</f>
        <v>0</v>
      </c>
      <c r="T79" s="108"/>
      <c r="U79" s="159">
        <f>'Себестоимость'!AJ128</f>
        <v>0</v>
      </c>
      <c r="V79" s="159">
        <f>T79*U79</f>
        <v>0</v>
      </c>
      <c r="W79" s="160"/>
    </row>
    <row r="80">
      <c r="A80" s="195"/>
      <c r="B80" s="219" t="str">
        <f>'Себестоимость'!V1</f>
        <v>Услуга 10</v>
      </c>
      <c r="C80" s="45">
        <f>D12*'Прайс'!B12</f>
        <v>0</v>
      </c>
      <c r="D80" s="112"/>
      <c r="E80" s="161" t="e">
        <f>'Себестоимость'!V60</f>
        <v>#DIV/0!</v>
      </c>
      <c r="F80" s="159" t="e">
        <f>D80*E80</f>
        <v>#DIV/0!</v>
      </c>
      <c r="G80" s="160"/>
      <c r="I80" s="195"/>
      <c r="J80" s="219" t="str">
        <f>'Себестоимость'!V1</f>
        <v>Услуга 10</v>
      </c>
      <c r="K80" s="45">
        <f>D12*'Прайс'!B12</f>
        <v>0</v>
      </c>
      <c r="L80" s="112"/>
      <c r="M80" s="161" t="e">
        <f>'Себестоимость'!V60</f>
        <v>#DIV/0!</v>
      </c>
      <c r="N80" s="159" t="e">
        <f>L80*M80</f>
        <v>#DIV/0!</v>
      </c>
      <c r="O80" s="160"/>
      <c r="Q80" s="195"/>
      <c r="R80" s="219" t="str">
        <f>'Себестоимость'!V1</f>
        <v>Услуга 10</v>
      </c>
      <c r="S80" s="45">
        <f>D12*'Прайс'!B12</f>
        <v>0</v>
      </c>
      <c r="T80" s="112"/>
      <c r="U80" s="161">
        <f>'Себестоимость'!AL128</f>
        <v>0</v>
      </c>
      <c r="V80" s="159">
        <f>T80*U80</f>
        <v>0</v>
      </c>
      <c r="W80" s="160"/>
    </row>
    <row r="81">
      <c r="A81" s="195"/>
      <c r="B81" s="117" t="s">
        <v>111</v>
      </c>
      <c r="C81" s="117"/>
      <c r="D81" s="117"/>
      <c r="E81" s="117"/>
      <c r="F81" s="115"/>
      <c r="G81" s="162">
        <f>SUM(F81:F93)</f>
        <v>0</v>
      </c>
      <c r="I81" s="195"/>
      <c r="J81" s="117" t="s">
        <v>111</v>
      </c>
      <c r="K81" s="117"/>
      <c r="L81" s="117"/>
      <c r="M81" s="117"/>
      <c r="N81" s="115"/>
      <c r="O81" s="162">
        <f>SUM(N81:N93)</f>
        <v>0</v>
      </c>
      <c r="Q81" s="195"/>
      <c r="R81" s="117" t="s">
        <v>111</v>
      </c>
      <c r="S81" s="117"/>
      <c r="T81" s="117"/>
      <c r="U81" s="117"/>
      <c r="V81" s="115"/>
      <c r="W81" s="162">
        <f>SUM(V81:V93)</f>
        <v>0</v>
      </c>
    </row>
    <row r="82">
      <c r="A82" s="195"/>
      <c r="B82" s="117" t="s">
        <v>111</v>
      </c>
      <c r="C82" s="117"/>
      <c r="D82" s="117"/>
      <c r="E82" s="117"/>
      <c r="F82" s="108"/>
      <c r="G82" s="163"/>
      <c r="I82" s="195"/>
      <c r="J82" s="117" t="s">
        <v>111</v>
      </c>
      <c r="K82" s="117"/>
      <c r="L82" s="117"/>
      <c r="M82" s="117"/>
      <c r="N82" s="108"/>
      <c r="O82" s="163"/>
      <c r="Q82" s="195"/>
      <c r="R82" s="117" t="s">
        <v>111</v>
      </c>
      <c r="S82" s="117"/>
      <c r="T82" s="117"/>
      <c r="U82" s="117"/>
      <c r="V82" s="108"/>
      <c r="W82" s="163"/>
    </row>
    <row r="83">
      <c r="A83" s="195"/>
      <c r="B83" s="117" t="s">
        <v>111</v>
      </c>
      <c r="C83" s="117"/>
      <c r="D83" s="117"/>
      <c r="E83" s="117"/>
      <c r="F83" s="108"/>
      <c r="G83" s="163"/>
      <c r="I83" s="195"/>
      <c r="J83" s="117" t="s">
        <v>111</v>
      </c>
      <c r="K83" s="117"/>
      <c r="L83" s="117"/>
      <c r="M83" s="117"/>
      <c r="N83" s="108"/>
      <c r="O83" s="163"/>
      <c r="Q83" s="195"/>
      <c r="R83" s="117" t="s">
        <v>111</v>
      </c>
      <c r="S83" s="117"/>
      <c r="T83" s="117"/>
      <c r="U83" s="117"/>
      <c r="V83" s="108"/>
      <c r="W83" s="163"/>
    </row>
    <row r="84">
      <c r="A84" s="195"/>
      <c r="B84" s="117" t="s">
        <v>111</v>
      </c>
      <c r="C84" s="117"/>
      <c r="D84" s="117"/>
      <c r="E84" s="117"/>
      <c r="F84" s="108"/>
      <c r="G84" s="163"/>
      <c r="I84" s="195"/>
      <c r="J84" s="117" t="s">
        <v>111</v>
      </c>
      <c r="K84" s="117"/>
      <c r="L84" s="117"/>
      <c r="M84" s="117"/>
      <c r="N84" s="108"/>
      <c r="O84" s="163"/>
      <c r="Q84" s="195"/>
      <c r="R84" s="117" t="s">
        <v>111</v>
      </c>
      <c r="S84" s="117"/>
      <c r="T84" s="117"/>
      <c r="U84" s="117"/>
      <c r="V84" s="108"/>
      <c r="W84" s="163"/>
    </row>
    <row r="85">
      <c r="A85" s="195"/>
      <c r="B85" s="117" t="s">
        <v>111</v>
      </c>
      <c r="C85" s="117"/>
      <c r="D85" s="117"/>
      <c r="E85" s="117"/>
      <c r="F85" s="108"/>
      <c r="G85" s="163"/>
      <c r="I85" s="195"/>
      <c r="J85" s="117" t="s">
        <v>111</v>
      </c>
      <c r="K85" s="117"/>
      <c r="L85" s="117"/>
      <c r="M85" s="117"/>
      <c r="N85" s="108"/>
      <c r="O85" s="163"/>
      <c r="Q85" s="195"/>
      <c r="R85" s="117" t="s">
        <v>111</v>
      </c>
      <c r="S85" s="117"/>
      <c r="T85" s="117"/>
      <c r="U85" s="117"/>
      <c r="V85" s="108"/>
      <c r="W85" s="163"/>
    </row>
    <row r="86">
      <c r="A86" s="195"/>
      <c r="B86" s="117" t="s">
        <v>111</v>
      </c>
      <c r="C86" s="117"/>
      <c r="D86" s="117"/>
      <c r="E86" s="117"/>
      <c r="F86" s="108"/>
      <c r="G86" s="163"/>
      <c r="I86" s="195"/>
      <c r="J86" s="117" t="s">
        <v>111</v>
      </c>
      <c r="K86" s="117"/>
      <c r="L86" s="117"/>
      <c r="M86" s="117"/>
      <c r="N86" s="108"/>
      <c r="O86" s="163"/>
      <c r="Q86" s="195"/>
      <c r="R86" s="117" t="s">
        <v>111</v>
      </c>
      <c r="S86" s="117"/>
      <c r="T86" s="117"/>
      <c r="U86" s="117"/>
      <c r="V86" s="108"/>
      <c r="W86" s="163"/>
    </row>
    <row r="87">
      <c r="A87" s="195"/>
      <c r="B87" s="117" t="s">
        <v>111</v>
      </c>
      <c r="C87" s="117"/>
      <c r="D87" s="117"/>
      <c r="E87" s="117"/>
      <c r="F87" s="108"/>
      <c r="G87" s="163"/>
      <c r="I87" s="195"/>
      <c r="J87" s="117" t="s">
        <v>111</v>
      </c>
      <c r="K87" s="117"/>
      <c r="L87" s="117"/>
      <c r="M87" s="117"/>
      <c r="N87" s="108"/>
      <c r="O87" s="163"/>
      <c r="Q87" s="195"/>
      <c r="R87" s="117" t="s">
        <v>111</v>
      </c>
      <c r="S87" s="117"/>
      <c r="T87" s="117"/>
      <c r="U87" s="117"/>
      <c r="V87" s="108"/>
      <c r="W87" s="163"/>
    </row>
    <row r="88">
      <c r="A88" s="195"/>
      <c r="B88" s="117" t="s">
        <v>96</v>
      </c>
      <c r="C88" s="117"/>
      <c r="D88" s="117"/>
      <c r="E88" s="117"/>
      <c r="F88" s="108"/>
      <c r="G88" s="163"/>
      <c r="I88" s="195"/>
      <c r="J88" s="117" t="s">
        <v>96</v>
      </c>
      <c r="K88" s="117"/>
      <c r="L88" s="117"/>
      <c r="M88" s="117"/>
      <c r="N88" s="108"/>
      <c r="O88" s="163"/>
      <c r="Q88" s="195"/>
      <c r="R88" s="117" t="s">
        <v>96</v>
      </c>
      <c r="S88" s="117"/>
      <c r="T88" s="117"/>
      <c r="U88" s="117"/>
      <c r="V88" s="108"/>
      <c r="W88" s="163"/>
    </row>
    <row r="89">
      <c r="A89" s="195"/>
      <c r="B89" s="183" t="s">
        <v>96</v>
      </c>
      <c r="C89" s="183"/>
      <c r="D89" s="183"/>
      <c r="E89" s="183"/>
      <c r="F89" s="108"/>
      <c r="G89" s="163"/>
      <c r="I89" s="195"/>
      <c r="J89" s="183" t="s">
        <v>96</v>
      </c>
      <c r="K89" s="183"/>
      <c r="L89" s="183"/>
      <c r="M89" s="183"/>
      <c r="N89" s="108"/>
      <c r="O89" s="163"/>
      <c r="Q89" s="195"/>
      <c r="R89" s="183" t="s">
        <v>96</v>
      </c>
      <c r="S89" s="183"/>
      <c r="T89" s="183"/>
      <c r="U89" s="183"/>
      <c r="V89" s="108"/>
      <c r="W89" s="163"/>
    </row>
    <row r="90">
      <c r="A90" s="195"/>
      <c r="B90" s="183" t="s">
        <v>96</v>
      </c>
      <c r="C90" s="183"/>
      <c r="D90" s="183"/>
      <c r="E90" s="183"/>
      <c r="F90" s="108"/>
      <c r="G90" s="163"/>
      <c r="I90" s="195"/>
      <c r="J90" s="183" t="s">
        <v>96</v>
      </c>
      <c r="K90" s="183"/>
      <c r="L90" s="183"/>
      <c r="M90" s="183"/>
      <c r="N90" s="108"/>
      <c r="O90" s="163"/>
      <c r="Q90" s="195"/>
      <c r="R90" s="183" t="s">
        <v>96</v>
      </c>
      <c r="S90" s="183"/>
      <c r="T90" s="183"/>
      <c r="U90" s="183"/>
      <c r="V90" s="108"/>
      <c r="W90" s="163"/>
    </row>
    <row r="91">
      <c r="A91" s="195"/>
      <c r="B91" s="183" t="s">
        <v>96</v>
      </c>
      <c r="C91" s="183"/>
      <c r="D91" s="183"/>
      <c r="E91" s="183"/>
      <c r="F91" s="108"/>
      <c r="G91" s="163"/>
      <c r="I91" s="195"/>
      <c r="J91" s="183" t="s">
        <v>96</v>
      </c>
      <c r="K91" s="183"/>
      <c r="L91" s="183"/>
      <c r="M91" s="183"/>
      <c r="N91" s="108"/>
      <c r="O91" s="163"/>
      <c r="Q91" s="195"/>
      <c r="R91" s="183" t="s">
        <v>96</v>
      </c>
      <c r="S91" s="183"/>
      <c r="T91" s="183"/>
      <c r="U91" s="183"/>
      <c r="V91" s="108"/>
      <c r="W91" s="163"/>
    </row>
    <row r="92">
      <c r="A92" s="195"/>
      <c r="B92" s="183" t="s">
        <v>96</v>
      </c>
      <c r="C92" s="183"/>
      <c r="D92" s="183"/>
      <c r="E92" s="183"/>
      <c r="F92" s="108"/>
      <c r="G92" s="163"/>
      <c r="I92" s="195"/>
      <c r="J92" s="183" t="s">
        <v>96</v>
      </c>
      <c r="K92" s="183"/>
      <c r="L92" s="183"/>
      <c r="M92" s="183"/>
      <c r="N92" s="108"/>
      <c r="O92" s="163"/>
      <c r="Q92" s="195"/>
      <c r="R92" s="183" t="s">
        <v>96</v>
      </c>
      <c r="S92" s="183"/>
      <c r="T92" s="183"/>
      <c r="U92" s="183"/>
      <c r="V92" s="108"/>
      <c r="W92" s="163"/>
    </row>
    <row r="93">
      <c r="A93" s="195"/>
      <c r="B93" s="183" t="s">
        <v>96</v>
      </c>
      <c r="C93" s="183"/>
      <c r="D93" s="183"/>
      <c r="E93" s="183"/>
      <c r="F93" s="112"/>
      <c r="G93" s="164"/>
      <c r="I93" s="195"/>
      <c r="J93" s="183" t="s">
        <v>96</v>
      </c>
      <c r="K93" s="183"/>
      <c r="L93" s="183"/>
      <c r="M93" s="183"/>
      <c r="N93" s="112"/>
      <c r="O93" s="164"/>
      <c r="Q93" s="195"/>
      <c r="R93" s="183" t="s">
        <v>96</v>
      </c>
      <c r="S93" s="183"/>
      <c r="T93" s="183"/>
      <c r="U93" s="183"/>
      <c r="V93" s="112"/>
      <c r="W93" s="164"/>
    </row>
    <row r="94">
      <c r="A94" s="196"/>
      <c r="B94" s="166" t="s">
        <v>98</v>
      </c>
      <c r="C94" s="166"/>
      <c r="D94" s="166"/>
      <c r="E94" s="166"/>
      <c r="F94" s="166"/>
      <c r="G94" s="160" t="e">
        <f>SUM(G71:G81)</f>
        <v>#DIV/0!</v>
      </c>
      <c r="I94" s="196"/>
      <c r="J94" s="166" t="s">
        <v>98</v>
      </c>
      <c r="K94" s="166"/>
      <c r="L94" s="166"/>
      <c r="M94" s="166"/>
      <c r="N94" s="166"/>
      <c r="O94" s="160" t="e">
        <f>SUM(O71:O81)</f>
        <v>#DIV/0!</v>
      </c>
      <c r="Q94" s="196"/>
      <c r="R94" s="166" t="s">
        <v>98</v>
      </c>
      <c r="S94" s="166"/>
      <c r="T94" s="166"/>
      <c r="U94" s="166"/>
      <c r="V94" s="166"/>
      <c r="W94" s="160" t="e">
        <f>SUM(W71:W81)</f>
        <v>#DIV/0!</v>
      </c>
    </row>
    <row r="95">
      <c r="A95" s="150" t="s">
        <v>99</v>
      </c>
      <c r="B95" s="113" t="s">
        <v>86</v>
      </c>
      <c r="C95" s="113"/>
      <c r="D95" s="113"/>
      <c r="E95" s="113"/>
      <c r="F95" s="239">
        <f>'Анализ КБ'!F151</f>
        <v>0</v>
      </c>
      <c r="G95" s="160">
        <f>SUM(F95:F97)</f>
        <v>0</v>
      </c>
      <c r="I95" s="150" t="s">
        <v>99</v>
      </c>
      <c r="J95" s="113" t="s">
        <v>86</v>
      </c>
      <c r="K95" s="113"/>
      <c r="L95" s="113"/>
      <c r="M95" s="113"/>
      <c r="N95" s="239">
        <f>'Анализ КБ'!P151</f>
        <v>0</v>
      </c>
      <c r="O95" s="160">
        <f>SUM(N95:N97)</f>
        <v>0</v>
      </c>
      <c r="Q95" s="150" t="s">
        <v>99</v>
      </c>
      <c r="R95" s="113" t="s">
        <v>86</v>
      </c>
      <c r="S95" s="113"/>
      <c r="T95" s="113"/>
      <c r="U95" s="113"/>
      <c r="V95" s="239">
        <f>'Анализ КБ'!Y151</f>
        <v>0</v>
      </c>
      <c r="W95" s="160">
        <f>SUM(V95:V97)</f>
        <v>0</v>
      </c>
    </row>
    <row r="96">
      <c r="A96" s="151"/>
      <c r="B96" s="117" t="s">
        <v>101</v>
      </c>
      <c r="C96" s="117"/>
      <c r="D96" s="117"/>
      <c r="E96" s="117"/>
      <c r="G96" s="160"/>
      <c r="I96" s="151"/>
      <c r="J96" s="117" t="s">
        <v>101</v>
      </c>
      <c r="K96" s="117"/>
      <c r="L96" s="117"/>
      <c r="M96" s="117"/>
      <c r="O96" s="160"/>
      <c r="Q96" s="151"/>
      <c r="R96" s="117" t="s">
        <v>101</v>
      </c>
      <c r="S96" s="117"/>
      <c r="T96" s="117"/>
      <c r="U96" s="117"/>
      <c r="W96" s="160"/>
    </row>
    <row r="97">
      <c r="A97" s="152"/>
      <c r="B97" s="140" t="s">
        <v>101</v>
      </c>
      <c r="C97" s="140"/>
      <c r="D97" s="140"/>
      <c r="E97" s="140"/>
      <c r="F97" s="111"/>
      <c r="G97" s="160"/>
      <c r="I97" s="152"/>
      <c r="J97" s="140" t="s">
        <v>101</v>
      </c>
      <c r="K97" s="140"/>
      <c r="L97" s="140"/>
      <c r="M97" s="140"/>
      <c r="N97" s="111"/>
      <c r="O97" s="160"/>
      <c r="Q97" s="152"/>
      <c r="R97" s="140" t="s">
        <v>101</v>
      </c>
      <c r="S97" s="140"/>
      <c r="T97" s="140"/>
      <c r="U97" s="140"/>
      <c r="V97" s="111"/>
      <c r="W97" s="160"/>
    </row>
    <row r="98">
      <c r="A98" s="153" t="s">
        <v>102</v>
      </c>
      <c r="B98" s="133" t="s">
        <v>103</v>
      </c>
      <c r="C98" s="133"/>
      <c r="D98" s="133"/>
      <c r="E98" s="133"/>
      <c r="F98" s="133"/>
      <c r="G98" s="218" t="e">
        <f>G95-G94</f>
        <v>#DIV/0!</v>
      </c>
      <c r="I98" s="153" t="s">
        <v>102</v>
      </c>
      <c r="J98" s="133" t="s">
        <v>103</v>
      </c>
      <c r="K98" s="133"/>
      <c r="L98" s="133"/>
      <c r="M98" s="133"/>
      <c r="N98" s="133"/>
      <c r="O98" s="218" t="e">
        <f>O95-O94</f>
        <v>#DIV/0!</v>
      </c>
      <c r="Q98" s="153" t="s">
        <v>102</v>
      </c>
      <c r="R98" s="133" t="s">
        <v>103</v>
      </c>
      <c r="S98" s="133"/>
      <c r="T98" s="133"/>
      <c r="U98" s="133"/>
      <c r="V98" s="133"/>
      <c r="W98" s="218" t="e">
        <f>W95-W94</f>
        <v>#DIV/0!</v>
      </c>
    </row>
    <row r="99">
      <c r="A99" s="153" t="s">
        <v>112</v>
      </c>
      <c r="B99" s="133" t="s">
        <v>105</v>
      </c>
      <c r="C99" s="133"/>
      <c r="D99" s="133"/>
      <c r="E99" s="133"/>
      <c r="F99" s="133"/>
      <c r="G99" s="218" t="e">
        <f>G98/G95*100</f>
        <v>#DIV/0!</v>
      </c>
      <c r="I99" s="153" t="s">
        <v>112</v>
      </c>
      <c r="J99" s="133" t="s">
        <v>105</v>
      </c>
      <c r="K99" s="133"/>
      <c r="L99" s="133"/>
      <c r="M99" s="133"/>
      <c r="N99" s="133"/>
      <c r="O99" s="218" t="e">
        <f>O98/O95*100</f>
        <v>#DIV/0!</v>
      </c>
      <c r="Q99" s="153" t="s">
        <v>112</v>
      </c>
      <c r="R99" s="133" t="s">
        <v>105</v>
      </c>
      <c r="S99" s="133"/>
      <c r="T99" s="133"/>
      <c r="U99" s="133"/>
      <c r="V99" s="133"/>
      <c r="W99" s="218" t="e">
        <f>W98/W95*100</f>
        <v>#DIV/0!</v>
      </c>
    </row>
    <row r="100">
      <c r="A100" s="153" t="s">
        <v>106</v>
      </c>
      <c r="B100" s="133" t="s">
        <v>107</v>
      </c>
      <c r="C100" s="133"/>
      <c r="D100" s="133"/>
      <c r="E100" s="133"/>
      <c r="F100" s="133"/>
      <c r="G100" s="218" t="e">
        <f>G95/SUM(D71:D80)</f>
        <v>#DIV/0!</v>
      </c>
      <c r="I100" s="153" t="s">
        <v>106</v>
      </c>
      <c r="J100" s="133" t="s">
        <v>107</v>
      </c>
      <c r="K100" s="133"/>
      <c r="L100" s="133"/>
      <c r="M100" s="133"/>
      <c r="N100" s="133"/>
      <c r="O100" s="218" t="e">
        <f>O95/SUM(L71:L80)</f>
        <v>#DIV/0!</v>
      </c>
      <c r="Q100" s="153" t="s">
        <v>106</v>
      </c>
      <c r="R100" s="133" t="s">
        <v>107</v>
      </c>
      <c r="S100" s="133"/>
      <c r="T100" s="133"/>
      <c r="U100" s="133"/>
      <c r="V100" s="133"/>
      <c r="W100" s="218" t="e">
        <f>W95/SUM(T71:T80)</f>
        <v>#DIV/0!</v>
      </c>
    </row>
    <row r="101">
      <c r="A101" s="154" t="s">
        <v>113</v>
      </c>
      <c r="B101" s="135" t="s">
        <v>118</v>
      </c>
      <c r="C101" s="135"/>
      <c r="D101" s="135"/>
      <c r="E101" s="135"/>
      <c r="F101" s="135"/>
      <c r="G101" s="199" t="e">
        <f>G98/SUM(C71:C80)</f>
        <v>#DIV/0!</v>
      </c>
      <c r="I101" s="154" t="s">
        <v>113</v>
      </c>
      <c r="J101" s="135" t="s">
        <v>118</v>
      </c>
      <c r="K101" s="135"/>
      <c r="L101" s="135"/>
      <c r="M101" s="135"/>
      <c r="N101" s="135"/>
      <c r="O101" s="199" t="e">
        <f>O98/SUM(K71:K80)</f>
        <v>#DIV/0!</v>
      </c>
      <c r="Q101" s="154" t="s">
        <v>113</v>
      </c>
      <c r="R101" s="135" t="s">
        <v>118</v>
      </c>
      <c r="S101" s="135"/>
      <c r="T101" s="135"/>
      <c r="U101" s="135"/>
      <c r="V101" s="135"/>
      <c r="W101" s="199" t="e">
        <f>W98/SUM(S71:S80)</f>
        <v>#DIV/0!</v>
      </c>
    </row>
    <row r="103">
      <c r="A103" s="194" t="s">
        <v>84</v>
      </c>
      <c r="B103" s="147" t="s">
        <v>137</v>
      </c>
      <c r="C103" s="147"/>
      <c r="D103" s="148"/>
      <c r="E103" s="148"/>
      <c r="F103" s="148"/>
      <c r="G103" s="149"/>
      <c r="I103" s="194" t="s">
        <v>84</v>
      </c>
      <c r="J103" s="147" t="s">
        <v>141</v>
      </c>
      <c r="K103" s="147"/>
      <c r="L103" s="148"/>
      <c r="M103" s="148"/>
      <c r="N103" s="148"/>
      <c r="O103" s="149"/>
      <c r="Q103" s="194" t="s">
        <v>84</v>
      </c>
      <c r="R103" s="147" t="s">
        <v>145</v>
      </c>
      <c r="S103" s="147"/>
      <c r="T103" s="148"/>
      <c r="U103" s="148"/>
      <c r="V103" s="148"/>
      <c r="W103" s="149"/>
    </row>
    <row r="104">
      <c r="A104" s="195"/>
      <c r="B104" s="99" t="s">
        <v>109</v>
      </c>
      <c r="C104" s="99" t="s">
        <v>114</v>
      </c>
      <c r="D104" s="99" t="s">
        <v>87</v>
      </c>
      <c r="E104" s="99" t="s">
        <v>88</v>
      </c>
      <c r="F104" s="99" t="s">
        <v>10</v>
      </c>
      <c r="G104" s="107" t="s">
        <v>72</v>
      </c>
      <c r="I104" s="195"/>
      <c r="J104" s="99" t="s">
        <v>109</v>
      </c>
      <c r="K104" s="99" t="s">
        <v>114</v>
      </c>
      <c r="L104" s="99" t="s">
        <v>87</v>
      </c>
      <c r="M104" s="99" t="s">
        <v>88</v>
      </c>
      <c r="N104" s="99" t="s">
        <v>10</v>
      </c>
      <c r="O104" s="107" t="s">
        <v>72</v>
      </c>
      <c r="Q104" s="195"/>
      <c r="R104" s="99" t="s">
        <v>109</v>
      </c>
      <c r="S104" s="99" t="s">
        <v>114</v>
      </c>
      <c r="T104" s="99" t="s">
        <v>87</v>
      </c>
      <c r="U104" s="99" t="s">
        <v>88</v>
      </c>
      <c r="V104" s="99" t="s">
        <v>10</v>
      </c>
      <c r="W104" s="107" t="s">
        <v>72</v>
      </c>
    </row>
    <row r="105">
      <c r="A105" s="195"/>
      <c r="B105" s="159" t="str">
        <f>'Себестоимость'!D1</f>
        <v>Услуга 1</v>
      </c>
      <c r="C105" s="45">
        <f>D3*'Прайс'!B3</f>
        <v>0</v>
      </c>
      <c r="D105" s="108"/>
      <c r="E105" s="159" t="e">
        <f>'Себестоимость'!D60</f>
        <v>#DIV/0!</v>
      </c>
      <c r="F105" s="159" t="e">
        <f>D105*E105</f>
        <v>#DIV/0!</v>
      </c>
      <c r="G105" s="160" t="e">
        <f>SUM(F105:F114)</f>
        <v>#DIV/0!</v>
      </c>
      <c r="I105" s="195"/>
      <c r="J105" s="159" t="str">
        <f>'Себестоимость'!D1</f>
        <v>Услуга 1</v>
      </c>
      <c r="K105" s="45">
        <f>D3*'Прайс'!B3</f>
        <v>0</v>
      </c>
      <c r="L105" s="108"/>
      <c r="M105" s="159" t="e">
        <f>'Себестоимость'!D60</f>
        <v>#DIV/0!</v>
      </c>
      <c r="N105" s="159" t="e">
        <f>L105*M105</f>
        <v>#DIV/0!</v>
      </c>
      <c r="O105" s="160" t="e">
        <f>SUM(N105:N114)</f>
        <v>#DIV/0!</v>
      </c>
      <c r="Q105" s="195"/>
      <c r="R105" s="159" t="str">
        <f>'Себестоимость'!D1</f>
        <v>Услуга 1</v>
      </c>
      <c r="S105" s="45">
        <f>D3*'Прайс'!B3</f>
        <v>0</v>
      </c>
      <c r="T105" s="108"/>
      <c r="U105" s="159">
        <f>'Себестоимость'!T162</f>
        <v>0</v>
      </c>
      <c r="V105" s="159">
        <f>T105*U105</f>
        <v>0</v>
      </c>
      <c r="W105" s="160">
        <f>SUM(V105:V114)</f>
        <v>0</v>
      </c>
    </row>
    <row r="106">
      <c r="A106" s="195"/>
      <c r="B106" s="159" t="str">
        <f>'Себестоимость'!F1</f>
        <v>Услуга 2</v>
      </c>
      <c r="C106" s="45">
        <f>D4*'Прайс'!B4</f>
        <v>0</v>
      </c>
      <c r="D106" s="108"/>
      <c r="E106" s="159" t="e">
        <f>'Себестоимость'!F60</f>
        <v>#DIV/0!</v>
      </c>
      <c r="F106" s="159" t="e">
        <f>D106*E106</f>
        <v>#DIV/0!</v>
      </c>
      <c r="G106" s="160"/>
      <c r="I106" s="195"/>
      <c r="J106" s="159" t="str">
        <f>'Себестоимость'!F1</f>
        <v>Услуга 2</v>
      </c>
      <c r="K106" s="45">
        <f>D4*'Прайс'!B4</f>
        <v>0</v>
      </c>
      <c r="L106" s="108"/>
      <c r="M106" s="159" t="e">
        <f>'Себестоимость'!F60</f>
        <v>#DIV/0!</v>
      </c>
      <c r="N106" s="159" t="e">
        <f>L106*M106</f>
        <v>#DIV/0!</v>
      </c>
      <c r="O106" s="160"/>
      <c r="Q106" s="195"/>
      <c r="R106" s="159" t="str">
        <f>'Себестоимость'!F1</f>
        <v>Услуга 2</v>
      </c>
      <c r="S106" s="45">
        <f>D4*'Прайс'!B4</f>
        <v>0</v>
      </c>
      <c r="T106" s="108"/>
      <c r="U106" s="159">
        <f>'Себестоимость'!V162</f>
        <v>0</v>
      </c>
      <c r="V106" s="159">
        <f>T106*U106</f>
        <v>0</v>
      </c>
      <c r="W106" s="160"/>
    </row>
    <row r="107">
      <c r="A107" s="195"/>
      <c r="B107" s="159" t="str">
        <f>'Себестоимость'!H1</f>
        <v>Услуга 3</v>
      </c>
      <c r="C107" s="45">
        <f>D5*'Прайс'!B5</f>
        <v>0</v>
      </c>
      <c r="D107" s="108"/>
      <c r="E107" s="159" t="e">
        <f>'Себестоимость'!H60</f>
        <v>#DIV/0!</v>
      </c>
      <c r="F107" s="159" t="e">
        <f>D107*E107</f>
        <v>#DIV/0!</v>
      </c>
      <c r="G107" s="160"/>
      <c r="I107" s="195"/>
      <c r="J107" s="159" t="str">
        <f>'Себестоимость'!H1</f>
        <v>Услуга 3</v>
      </c>
      <c r="K107" s="45">
        <f>D5*'Прайс'!B5</f>
        <v>0</v>
      </c>
      <c r="L107" s="108"/>
      <c r="M107" s="159" t="e">
        <f>'Себестоимость'!H60</f>
        <v>#DIV/0!</v>
      </c>
      <c r="N107" s="159" t="e">
        <f>L107*M107</f>
        <v>#DIV/0!</v>
      </c>
      <c r="O107" s="160"/>
      <c r="Q107" s="195"/>
      <c r="R107" s="159" t="str">
        <f>'Себестоимость'!H1</f>
        <v>Услуга 3</v>
      </c>
      <c r="S107" s="45">
        <f>D5*'Прайс'!B5</f>
        <v>0</v>
      </c>
      <c r="T107" s="108"/>
      <c r="U107" s="159">
        <f>'Себестоимость'!X162</f>
        <v>0</v>
      </c>
      <c r="V107" s="159">
        <f>T107*U107</f>
        <v>0</v>
      </c>
      <c r="W107" s="160"/>
    </row>
    <row r="108">
      <c r="A108" s="195"/>
      <c r="B108" s="176" t="str">
        <f>'Себестоимость'!J1</f>
        <v>Услуга 4</v>
      </c>
      <c r="C108" s="45">
        <f>D6*'Прайс'!B6</f>
        <v>0</v>
      </c>
      <c r="D108" s="108"/>
      <c r="E108" s="159" t="e">
        <f>'Себестоимость'!J60</f>
        <v>#DIV/0!</v>
      </c>
      <c r="F108" s="159" t="e">
        <f>D108*E108</f>
        <v>#DIV/0!</v>
      </c>
      <c r="G108" s="160"/>
      <c r="I108" s="195"/>
      <c r="J108" s="176" t="str">
        <f>'Себестоимость'!J1</f>
        <v>Услуга 4</v>
      </c>
      <c r="K108" s="45">
        <f>D6*'Прайс'!B6</f>
        <v>0</v>
      </c>
      <c r="L108" s="108"/>
      <c r="M108" s="159" t="e">
        <f>'Себестоимость'!J60</f>
        <v>#DIV/0!</v>
      </c>
      <c r="N108" s="159" t="e">
        <f>L108*M108</f>
        <v>#DIV/0!</v>
      </c>
      <c r="O108" s="160"/>
      <c r="Q108" s="195"/>
      <c r="R108" s="176" t="str">
        <f>'Себестоимость'!J1</f>
        <v>Услуга 4</v>
      </c>
      <c r="S108" s="45">
        <f>D6*'Прайс'!B6</f>
        <v>0</v>
      </c>
      <c r="T108" s="108"/>
      <c r="U108" s="159">
        <f>'Себестоимость'!Z162</f>
        <v>0</v>
      </c>
      <c r="V108" s="159">
        <f>T108*U108</f>
        <v>0</v>
      </c>
      <c r="W108" s="160"/>
    </row>
    <row r="109">
      <c r="A109" s="195"/>
      <c r="B109" s="176" t="str">
        <f>'Себестоимость'!L1</f>
        <v>Услуга 5</v>
      </c>
      <c r="C109" s="45">
        <f>D7*'Прайс'!B7</f>
        <v>0</v>
      </c>
      <c r="D109" s="108"/>
      <c r="E109" s="159" t="e">
        <f>'Себестоимость'!L60</f>
        <v>#DIV/0!</v>
      </c>
      <c r="F109" s="159" t="e">
        <f>D109*E109</f>
        <v>#DIV/0!</v>
      </c>
      <c r="G109" s="160"/>
      <c r="I109" s="195"/>
      <c r="J109" s="176" t="str">
        <f>'Себестоимость'!L1</f>
        <v>Услуга 5</v>
      </c>
      <c r="K109" s="45">
        <f>D7*'Прайс'!B7</f>
        <v>0</v>
      </c>
      <c r="L109" s="108"/>
      <c r="M109" s="159" t="e">
        <f>'Себестоимость'!L60</f>
        <v>#DIV/0!</v>
      </c>
      <c r="N109" s="159" t="e">
        <f>L109*M109</f>
        <v>#DIV/0!</v>
      </c>
      <c r="O109" s="160"/>
      <c r="Q109" s="195"/>
      <c r="R109" s="176" t="str">
        <f>'Себестоимость'!L1</f>
        <v>Услуга 5</v>
      </c>
      <c r="S109" s="45">
        <f>D7*'Прайс'!B7</f>
        <v>0</v>
      </c>
      <c r="T109" s="108"/>
      <c r="U109" s="159">
        <f>'Себестоимость'!AB162</f>
        <v>0</v>
      </c>
      <c r="V109" s="159">
        <f>T109*U109</f>
        <v>0</v>
      </c>
      <c r="W109" s="160"/>
    </row>
    <row r="110">
      <c r="A110" s="195"/>
      <c r="B110" s="176" t="str">
        <f>'Себестоимость'!N1</f>
        <v>Услуга 6</v>
      </c>
      <c r="C110" s="45">
        <f>D8*'Прайс'!B8</f>
        <v>0</v>
      </c>
      <c r="D110" s="108"/>
      <c r="E110" s="159" t="e">
        <f>'Себестоимость'!N60</f>
        <v>#DIV/0!</v>
      </c>
      <c r="F110" s="159" t="e">
        <f>D110*E110</f>
        <v>#DIV/0!</v>
      </c>
      <c r="G110" s="160"/>
      <c r="I110" s="195"/>
      <c r="J110" s="176" t="str">
        <f>'Себестоимость'!N1</f>
        <v>Услуга 6</v>
      </c>
      <c r="K110" s="45">
        <f>D8*'Прайс'!B8</f>
        <v>0</v>
      </c>
      <c r="L110" s="108"/>
      <c r="M110" s="159" t="e">
        <f>'Себестоимость'!N60</f>
        <v>#DIV/0!</v>
      </c>
      <c r="N110" s="159" t="e">
        <f>L110*M110</f>
        <v>#DIV/0!</v>
      </c>
      <c r="O110" s="160"/>
      <c r="Q110" s="195"/>
      <c r="R110" s="176" t="str">
        <f>'Себестоимость'!N1</f>
        <v>Услуга 6</v>
      </c>
      <c r="S110" s="45">
        <f>D8*'Прайс'!B8</f>
        <v>0</v>
      </c>
      <c r="T110" s="108"/>
      <c r="U110" s="159">
        <f>'Себестоимость'!AD162</f>
        <v>0</v>
      </c>
      <c r="V110" s="159">
        <f>T110*U110</f>
        <v>0</v>
      </c>
      <c r="W110" s="160"/>
    </row>
    <row r="111">
      <c r="A111" s="195"/>
      <c r="B111" s="176" t="str">
        <f>'Себестоимость'!P1</f>
        <v>Услуга 7</v>
      </c>
      <c r="C111" s="45">
        <f>D9*'Прайс'!B9</f>
        <v>0</v>
      </c>
      <c r="D111" s="108"/>
      <c r="E111" s="159" t="e">
        <f>'Себестоимость'!P60</f>
        <v>#DIV/0!</v>
      </c>
      <c r="F111" s="159" t="e">
        <f>D111*E111</f>
        <v>#DIV/0!</v>
      </c>
      <c r="G111" s="160"/>
      <c r="I111" s="195"/>
      <c r="J111" s="176" t="str">
        <f>'Себестоимость'!P1</f>
        <v>Услуга 7</v>
      </c>
      <c r="K111" s="45">
        <f>D9*'Прайс'!B9</f>
        <v>0</v>
      </c>
      <c r="L111" s="108"/>
      <c r="M111" s="159" t="e">
        <f>'Себестоимость'!P60</f>
        <v>#DIV/0!</v>
      </c>
      <c r="N111" s="159" t="e">
        <f>L111*M111</f>
        <v>#DIV/0!</v>
      </c>
      <c r="O111" s="160"/>
      <c r="Q111" s="195"/>
      <c r="R111" s="176" t="str">
        <f>'Себестоимость'!P1</f>
        <v>Услуга 7</v>
      </c>
      <c r="S111" s="45">
        <f>D9*'Прайс'!B9</f>
        <v>0</v>
      </c>
      <c r="T111" s="108"/>
      <c r="U111" s="159">
        <f>'Себестоимость'!AF162</f>
        <v>0</v>
      </c>
      <c r="V111" s="159">
        <f>T111*U111</f>
        <v>0</v>
      </c>
      <c r="W111" s="160"/>
    </row>
    <row r="112">
      <c r="A112" s="195"/>
      <c r="B112" s="219" t="str">
        <f>'Себестоимость'!R1</f>
        <v>Услуга 8</v>
      </c>
      <c r="C112" s="45">
        <f>D10*'Прайс'!B10</f>
        <v>0</v>
      </c>
      <c r="D112" s="108"/>
      <c r="E112" s="159" t="e">
        <f>'Себестоимость'!R60</f>
        <v>#DIV/0!</v>
      </c>
      <c r="F112" s="159" t="e">
        <f>D112*E112</f>
        <v>#DIV/0!</v>
      </c>
      <c r="G112" s="160"/>
      <c r="I112" s="195"/>
      <c r="J112" s="219" t="str">
        <f>'Себестоимость'!R1</f>
        <v>Услуга 8</v>
      </c>
      <c r="K112" s="45">
        <f>D10*'Прайс'!B10</f>
        <v>0</v>
      </c>
      <c r="L112" s="108"/>
      <c r="M112" s="159" t="e">
        <f>'Себестоимость'!R60</f>
        <v>#DIV/0!</v>
      </c>
      <c r="N112" s="159" t="e">
        <f>L112*M112</f>
        <v>#DIV/0!</v>
      </c>
      <c r="O112" s="160"/>
      <c r="Q112" s="195"/>
      <c r="R112" s="219" t="str">
        <f>'Себестоимость'!R1</f>
        <v>Услуга 8</v>
      </c>
      <c r="S112" s="45">
        <f>D10*'Прайс'!B10</f>
        <v>0</v>
      </c>
      <c r="T112" s="108"/>
      <c r="U112" s="159">
        <f>'Себестоимость'!AH162</f>
        <v>0</v>
      </c>
      <c r="V112" s="159">
        <f>T112*U112</f>
        <v>0</v>
      </c>
      <c r="W112" s="160"/>
    </row>
    <row r="113">
      <c r="A113" s="195"/>
      <c r="B113" s="219" t="str">
        <f>'Себестоимость'!T1</f>
        <v>Услуга 9</v>
      </c>
      <c r="C113" s="45">
        <f>D11*'Прайс'!B11</f>
        <v>0</v>
      </c>
      <c r="D113" s="108"/>
      <c r="E113" s="159" t="e">
        <f>'Себестоимость'!T60</f>
        <v>#DIV/0!</v>
      </c>
      <c r="F113" s="159" t="e">
        <f>D113*E113</f>
        <v>#DIV/0!</v>
      </c>
      <c r="G113" s="160"/>
      <c r="I113" s="195"/>
      <c r="J113" s="219" t="str">
        <f>'Себестоимость'!T1</f>
        <v>Услуга 9</v>
      </c>
      <c r="K113" s="45">
        <f>D11*'Прайс'!B11</f>
        <v>0</v>
      </c>
      <c r="L113" s="108"/>
      <c r="M113" s="159" t="e">
        <f>'Себестоимость'!T60</f>
        <v>#DIV/0!</v>
      </c>
      <c r="N113" s="159" t="e">
        <f>L113*M113</f>
        <v>#DIV/0!</v>
      </c>
      <c r="O113" s="160"/>
      <c r="Q113" s="195"/>
      <c r="R113" s="219" t="str">
        <f>'Себестоимость'!T1</f>
        <v>Услуга 9</v>
      </c>
      <c r="S113" s="45">
        <f>D11*'Прайс'!B11</f>
        <v>0</v>
      </c>
      <c r="T113" s="108"/>
      <c r="U113" s="159">
        <f>'Себестоимость'!AJ162</f>
        <v>0</v>
      </c>
      <c r="V113" s="159">
        <f>T113*U113</f>
        <v>0</v>
      </c>
      <c r="W113" s="160"/>
    </row>
    <row r="114">
      <c r="A114" s="195"/>
      <c r="B114" s="219" t="str">
        <f>'Себестоимость'!V1</f>
        <v>Услуга 10</v>
      </c>
      <c r="C114" s="45">
        <f>D12*'Прайс'!B12</f>
        <v>0</v>
      </c>
      <c r="D114" s="112"/>
      <c r="E114" s="161" t="e">
        <f>'Себестоимость'!V60</f>
        <v>#DIV/0!</v>
      </c>
      <c r="F114" s="159" t="e">
        <f>D114*E114</f>
        <v>#DIV/0!</v>
      </c>
      <c r="G114" s="160"/>
      <c r="I114" s="195"/>
      <c r="J114" s="219" t="str">
        <f>'Себестоимость'!V1</f>
        <v>Услуга 10</v>
      </c>
      <c r="K114" s="45">
        <f>D12*'Прайс'!B12</f>
        <v>0</v>
      </c>
      <c r="L114" s="112"/>
      <c r="M114" s="161" t="e">
        <f>'Себестоимость'!V60</f>
        <v>#DIV/0!</v>
      </c>
      <c r="N114" s="159" t="e">
        <f>L114*M114</f>
        <v>#DIV/0!</v>
      </c>
      <c r="O114" s="160"/>
      <c r="Q114" s="195"/>
      <c r="R114" s="219" t="str">
        <f>'Себестоимость'!V1</f>
        <v>Услуга 10</v>
      </c>
      <c r="S114" s="45">
        <f>D12*'Прайс'!B12</f>
        <v>0</v>
      </c>
      <c r="T114" s="112"/>
      <c r="U114" s="161">
        <f>'Себестоимость'!AL162</f>
        <v>0</v>
      </c>
      <c r="V114" s="159">
        <f>T114*U114</f>
        <v>0</v>
      </c>
      <c r="W114" s="160"/>
    </row>
    <row r="115">
      <c r="A115" s="195"/>
      <c r="B115" s="117" t="s">
        <v>111</v>
      </c>
      <c r="C115" s="117"/>
      <c r="D115" s="117"/>
      <c r="E115" s="117"/>
      <c r="F115" s="115"/>
      <c r="G115" s="162">
        <f>SUM(F115:F127)</f>
        <v>0</v>
      </c>
      <c r="I115" s="195"/>
      <c r="J115" s="117" t="s">
        <v>111</v>
      </c>
      <c r="K115" s="117"/>
      <c r="L115" s="117"/>
      <c r="M115" s="117"/>
      <c r="N115" s="115"/>
      <c r="O115" s="162">
        <f>SUM(N115:N127)</f>
        <v>0</v>
      </c>
      <c r="Q115" s="195"/>
      <c r="R115" s="117" t="s">
        <v>111</v>
      </c>
      <c r="S115" s="117"/>
      <c r="T115" s="117"/>
      <c r="U115" s="117"/>
      <c r="V115" s="115"/>
      <c r="W115" s="162">
        <f>SUM(V115:V127)</f>
        <v>0</v>
      </c>
    </row>
    <row r="116">
      <c r="A116" s="195"/>
      <c r="B116" s="117" t="s">
        <v>111</v>
      </c>
      <c r="C116" s="117"/>
      <c r="D116" s="117"/>
      <c r="E116" s="117"/>
      <c r="F116" s="108"/>
      <c r="G116" s="163"/>
      <c r="I116" s="195"/>
      <c r="J116" s="117" t="s">
        <v>111</v>
      </c>
      <c r="K116" s="117"/>
      <c r="L116" s="117"/>
      <c r="M116" s="117"/>
      <c r="N116" s="108"/>
      <c r="O116" s="163"/>
      <c r="Q116" s="195"/>
      <c r="R116" s="117" t="s">
        <v>111</v>
      </c>
      <c r="S116" s="117"/>
      <c r="T116" s="117"/>
      <c r="U116" s="117"/>
      <c r="V116" s="108"/>
      <c r="W116" s="163"/>
    </row>
    <row r="117">
      <c r="A117" s="195"/>
      <c r="B117" s="117" t="s">
        <v>111</v>
      </c>
      <c r="C117" s="117"/>
      <c r="D117" s="117"/>
      <c r="E117" s="117"/>
      <c r="F117" s="108"/>
      <c r="G117" s="163"/>
      <c r="I117" s="195"/>
      <c r="J117" s="117" t="s">
        <v>111</v>
      </c>
      <c r="K117" s="117"/>
      <c r="L117" s="117"/>
      <c r="M117" s="117"/>
      <c r="N117" s="108"/>
      <c r="O117" s="163"/>
      <c r="Q117" s="195"/>
      <c r="R117" s="117" t="s">
        <v>111</v>
      </c>
      <c r="S117" s="117"/>
      <c r="T117" s="117"/>
      <c r="U117" s="117"/>
      <c r="V117" s="108"/>
      <c r="W117" s="163"/>
    </row>
    <row r="118">
      <c r="A118" s="195"/>
      <c r="B118" s="117" t="s">
        <v>111</v>
      </c>
      <c r="C118" s="117"/>
      <c r="D118" s="117"/>
      <c r="E118" s="117"/>
      <c r="F118" s="108"/>
      <c r="G118" s="163"/>
      <c r="I118" s="195"/>
      <c r="J118" s="117" t="s">
        <v>111</v>
      </c>
      <c r="K118" s="117"/>
      <c r="L118" s="117"/>
      <c r="M118" s="117"/>
      <c r="N118" s="108"/>
      <c r="O118" s="163"/>
      <c r="Q118" s="195"/>
      <c r="R118" s="117" t="s">
        <v>111</v>
      </c>
      <c r="S118" s="117"/>
      <c r="T118" s="117"/>
      <c r="U118" s="117"/>
      <c r="V118" s="108"/>
      <c r="W118" s="163"/>
    </row>
    <row r="119">
      <c r="A119" s="195"/>
      <c r="B119" s="117" t="s">
        <v>111</v>
      </c>
      <c r="C119" s="117"/>
      <c r="D119" s="117"/>
      <c r="E119" s="117"/>
      <c r="F119" s="108"/>
      <c r="G119" s="163"/>
      <c r="I119" s="195"/>
      <c r="J119" s="117" t="s">
        <v>111</v>
      </c>
      <c r="K119" s="117"/>
      <c r="L119" s="117"/>
      <c r="M119" s="117"/>
      <c r="N119" s="108"/>
      <c r="O119" s="163"/>
      <c r="Q119" s="195"/>
      <c r="R119" s="117" t="s">
        <v>111</v>
      </c>
      <c r="S119" s="117"/>
      <c r="T119" s="117"/>
      <c r="U119" s="117"/>
      <c r="V119" s="108"/>
      <c r="W119" s="163"/>
    </row>
    <row r="120">
      <c r="A120" s="195"/>
      <c r="B120" s="117" t="s">
        <v>111</v>
      </c>
      <c r="C120" s="117"/>
      <c r="D120" s="117"/>
      <c r="E120" s="117"/>
      <c r="F120" s="108"/>
      <c r="G120" s="163"/>
      <c r="I120" s="195"/>
      <c r="J120" s="117" t="s">
        <v>111</v>
      </c>
      <c r="K120" s="117"/>
      <c r="L120" s="117"/>
      <c r="M120" s="117"/>
      <c r="N120" s="108"/>
      <c r="O120" s="163"/>
      <c r="Q120" s="195"/>
      <c r="R120" s="117" t="s">
        <v>111</v>
      </c>
      <c r="S120" s="117"/>
      <c r="T120" s="117"/>
      <c r="U120" s="117"/>
      <c r="V120" s="108"/>
      <c r="W120" s="163"/>
    </row>
    <row r="121">
      <c r="A121" s="195"/>
      <c r="B121" s="117" t="s">
        <v>111</v>
      </c>
      <c r="C121" s="117"/>
      <c r="D121" s="117"/>
      <c r="E121" s="117"/>
      <c r="F121" s="108"/>
      <c r="G121" s="163"/>
      <c r="I121" s="195"/>
      <c r="J121" s="117" t="s">
        <v>111</v>
      </c>
      <c r="K121" s="117"/>
      <c r="L121" s="117"/>
      <c r="M121" s="117"/>
      <c r="N121" s="108"/>
      <c r="O121" s="163"/>
      <c r="Q121" s="195"/>
      <c r="R121" s="117" t="s">
        <v>111</v>
      </c>
      <c r="S121" s="117"/>
      <c r="T121" s="117"/>
      <c r="U121" s="117"/>
      <c r="V121" s="108"/>
      <c r="W121" s="163"/>
    </row>
    <row r="122">
      <c r="A122" s="195"/>
      <c r="B122" s="117" t="s">
        <v>96</v>
      </c>
      <c r="C122" s="117"/>
      <c r="D122" s="117"/>
      <c r="E122" s="117"/>
      <c r="F122" s="108"/>
      <c r="G122" s="163"/>
      <c r="I122" s="195"/>
      <c r="J122" s="117" t="s">
        <v>96</v>
      </c>
      <c r="K122" s="117"/>
      <c r="L122" s="117"/>
      <c r="M122" s="117"/>
      <c r="N122" s="108"/>
      <c r="O122" s="163"/>
      <c r="Q122" s="195"/>
      <c r="R122" s="117" t="s">
        <v>96</v>
      </c>
      <c r="S122" s="117"/>
      <c r="T122" s="117"/>
      <c r="U122" s="117"/>
      <c r="V122" s="108"/>
      <c r="W122" s="163"/>
    </row>
    <row r="123">
      <c r="A123" s="195"/>
      <c r="B123" s="183" t="s">
        <v>96</v>
      </c>
      <c r="C123" s="183"/>
      <c r="D123" s="183"/>
      <c r="E123" s="183"/>
      <c r="F123" s="108"/>
      <c r="G123" s="163"/>
      <c r="I123" s="195"/>
      <c r="J123" s="183" t="s">
        <v>96</v>
      </c>
      <c r="K123" s="183"/>
      <c r="L123" s="183"/>
      <c r="M123" s="183"/>
      <c r="N123" s="108"/>
      <c r="O123" s="163"/>
      <c r="Q123" s="195"/>
      <c r="R123" s="183" t="s">
        <v>96</v>
      </c>
      <c r="S123" s="183"/>
      <c r="T123" s="183"/>
      <c r="U123" s="183"/>
      <c r="V123" s="108"/>
      <c r="W123" s="163"/>
    </row>
    <row r="124">
      <c r="A124" s="195"/>
      <c r="B124" s="183" t="s">
        <v>96</v>
      </c>
      <c r="C124" s="183"/>
      <c r="D124" s="183"/>
      <c r="E124" s="183"/>
      <c r="F124" s="108"/>
      <c r="G124" s="163"/>
      <c r="I124" s="195"/>
      <c r="J124" s="183" t="s">
        <v>96</v>
      </c>
      <c r="K124" s="183"/>
      <c r="L124" s="183"/>
      <c r="M124" s="183"/>
      <c r="N124" s="108"/>
      <c r="O124" s="163"/>
      <c r="Q124" s="195"/>
      <c r="R124" s="183" t="s">
        <v>96</v>
      </c>
      <c r="S124" s="183"/>
      <c r="T124" s="183"/>
      <c r="U124" s="183"/>
      <c r="V124" s="108"/>
      <c r="W124" s="163"/>
    </row>
    <row r="125">
      <c r="A125" s="195"/>
      <c r="B125" s="183" t="s">
        <v>96</v>
      </c>
      <c r="C125" s="183"/>
      <c r="D125" s="183"/>
      <c r="E125" s="183"/>
      <c r="F125" s="108"/>
      <c r="G125" s="163"/>
      <c r="I125" s="195"/>
      <c r="J125" s="183" t="s">
        <v>96</v>
      </c>
      <c r="K125" s="183"/>
      <c r="L125" s="183"/>
      <c r="M125" s="183"/>
      <c r="N125" s="108"/>
      <c r="O125" s="163"/>
      <c r="Q125" s="195"/>
      <c r="R125" s="183" t="s">
        <v>96</v>
      </c>
      <c r="S125" s="183"/>
      <c r="T125" s="183"/>
      <c r="U125" s="183"/>
      <c r="V125" s="108"/>
      <c r="W125" s="163"/>
    </row>
    <row r="126">
      <c r="A126" s="195"/>
      <c r="B126" s="183" t="s">
        <v>96</v>
      </c>
      <c r="C126" s="183"/>
      <c r="D126" s="183"/>
      <c r="E126" s="183"/>
      <c r="F126" s="108"/>
      <c r="G126" s="163"/>
      <c r="I126" s="195"/>
      <c r="J126" s="183" t="s">
        <v>96</v>
      </c>
      <c r="K126" s="183"/>
      <c r="L126" s="183"/>
      <c r="M126" s="183"/>
      <c r="N126" s="108"/>
      <c r="O126" s="163"/>
      <c r="Q126" s="195"/>
      <c r="R126" s="183" t="s">
        <v>96</v>
      </c>
      <c r="S126" s="183"/>
      <c r="T126" s="183"/>
      <c r="U126" s="183"/>
      <c r="V126" s="108"/>
      <c r="W126" s="163"/>
    </row>
    <row r="127">
      <c r="A127" s="195"/>
      <c r="B127" s="183" t="s">
        <v>96</v>
      </c>
      <c r="C127" s="183"/>
      <c r="D127" s="183"/>
      <c r="E127" s="183"/>
      <c r="F127" s="112"/>
      <c r="G127" s="164"/>
      <c r="I127" s="195"/>
      <c r="J127" s="183" t="s">
        <v>96</v>
      </c>
      <c r="K127" s="183"/>
      <c r="L127" s="183"/>
      <c r="M127" s="183"/>
      <c r="N127" s="112"/>
      <c r="O127" s="164"/>
      <c r="Q127" s="195"/>
      <c r="R127" s="183" t="s">
        <v>96</v>
      </c>
      <c r="S127" s="183"/>
      <c r="T127" s="183"/>
      <c r="U127" s="183"/>
      <c r="V127" s="112"/>
      <c r="W127" s="164"/>
    </row>
    <row r="128">
      <c r="A128" s="196"/>
      <c r="B128" s="166" t="s">
        <v>98</v>
      </c>
      <c r="C128" s="166"/>
      <c r="D128" s="166"/>
      <c r="E128" s="166"/>
      <c r="F128" s="166"/>
      <c r="G128" s="160" t="e">
        <f>SUM(G105:G115)</f>
        <v>#DIV/0!</v>
      </c>
      <c r="I128" s="196"/>
      <c r="J128" s="166" t="s">
        <v>98</v>
      </c>
      <c r="K128" s="166"/>
      <c r="L128" s="166"/>
      <c r="M128" s="166"/>
      <c r="N128" s="166"/>
      <c r="O128" s="160" t="e">
        <f>SUM(O105:O115)</f>
        <v>#DIV/0!</v>
      </c>
      <c r="Q128" s="196"/>
      <c r="R128" s="166" t="s">
        <v>98</v>
      </c>
      <c r="S128" s="166"/>
      <c r="T128" s="166"/>
      <c r="U128" s="166"/>
      <c r="V128" s="166"/>
      <c r="W128" s="160">
        <f>SUM(W105:W115)</f>
        <v>0</v>
      </c>
    </row>
    <row r="129">
      <c r="A129" s="150" t="s">
        <v>99</v>
      </c>
      <c r="B129" s="113" t="s">
        <v>86</v>
      </c>
      <c r="C129" s="113"/>
      <c r="D129" s="113"/>
      <c r="E129" s="113"/>
      <c r="F129" s="239">
        <f>'Анализ КБ'!I151</f>
        <v>0</v>
      </c>
      <c r="G129" s="160">
        <f>SUM(F129:F131)</f>
        <v>0</v>
      </c>
      <c r="I129" s="150" t="s">
        <v>99</v>
      </c>
      <c r="J129" s="113" t="s">
        <v>86</v>
      </c>
      <c r="K129" s="113"/>
      <c r="L129" s="113"/>
      <c r="M129" s="113"/>
      <c r="N129" s="239">
        <f>'Анализ КБ'!R151</f>
        <v>0</v>
      </c>
      <c r="O129" s="160">
        <f>SUM(N129:N131)</f>
        <v>0</v>
      </c>
      <c r="Q129" s="150" t="s">
        <v>99</v>
      </c>
      <c r="R129" s="113" t="s">
        <v>86</v>
      </c>
      <c r="S129" s="113"/>
      <c r="T129" s="113"/>
      <c r="U129" s="113"/>
      <c r="V129" s="239">
        <f>'Анализ КБ'!AA151</f>
        <v>0</v>
      </c>
      <c r="W129" s="160">
        <f>SUM(V129:V131)</f>
        <v>0</v>
      </c>
    </row>
    <row r="130">
      <c r="A130" s="151"/>
      <c r="B130" s="117" t="s">
        <v>101</v>
      </c>
      <c r="C130" s="117"/>
      <c r="D130" s="117"/>
      <c r="E130" s="117"/>
      <c r="G130" s="160"/>
      <c r="I130" s="151"/>
      <c r="J130" s="117" t="s">
        <v>101</v>
      </c>
      <c r="K130" s="117"/>
      <c r="L130" s="117"/>
      <c r="M130" s="117"/>
      <c r="O130" s="160"/>
      <c r="Q130" s="151"/>
      <c r="R130" s="117" t="s">
        <v>101</v>
      </c>
      <c r="S130" s="117"/>
      <c r="T130" s="117"/>
      <c r="U130" s="117"/>
      <c r="W130" s="160"/>
    </row>
    <row r="131">
      <c r="A131" s="152"/>
      <c r="B131" s="140" t="s">
        <v>101</v>
      </c>
      <c r="C131" s="140"/>
      <c r="D131" s="140"/>
      <c r="E131" s="140"/>
      <c r="F131" s="111"/>
      <c r="G131" s="160"/>
      <c r="I131" s="152"/>
      <c r="J131" s="140" t="s">
        <v>101</v>
      </c>
      <c r="K131" s="140"/>
      <c r="L131" s="140"/>
      <c r="M131" s="140"/>
      <c r="N131" s="111"/>
      <c r="O131" s="160"/>
      <c r="Q131" s="152"/>
      <c r="R131" s="140" t="s">
        <v>101</v>
      </c>
      <c r="S131" s="140"/>
      <c r="T131" s="140"/>
      <c r="U131" s="140"/>
      <c r="V131" s="111"/>
      <c r="W131" s="160"/>
    </row>
    <row r="132">
      <c r="A132" s="153" t="s">
        <v>102</v>
      </c>
      <c r="B132" s="133" t="s">
        <v>103</v>
      </c>
      <c r="C132" s="133"/>
      <c r="D132" s="133"/>
      <c r="E132" s="133"/>
      <c r="F132" s="133"/>
      <c r="G132" s="218" t="e">
        <f>G129-G128</f>
        <v>#DIV/0!</v>
      </c>
      <c r="I132" s="153" t="s">
        <v>102</v>
      </c>
      <c r="J132" s="133" t="s">
        <v>103</v>
      </c>
      <c r="K132" s="133"/>
      <c r="L132" s="133"/>
      <c r="M132" s="133"/>
      <c r="N132" s="133"/>
      <c r="O132" s="218" t="e">
        <f>O129-O128</f>
        <v>#DIV/0!</v>
      </c>
      <c r="Q132" s="153" t="s">
        <v>102</v>
      </c>
      <c r="R132" s="133" t="s">
        <v>103</v>
      </c>
      <c r="S132" s="133"/>
      <c r="T132" s="133"/>
      <c r="U132" s="133"/>
      <c r="V132" s="133"/>
      <c r="W132" s="218">
        <f>W129-W128</f>
        <v>0</v>
      </c>
    </row>
    <row r="133">
      <c r="A133" s="153" t="s">
        <v>112</v>
      </c>
      <c r="B133" s="133" t="s">
        <v>105</v>
      </c>
      <c r="C133" s="133"/>
      <c r="D133" s="133"/>
      <c r="E133" s="133"/>
      <c r="F133" s="133"/>
      <c r="G133" s="218" t="e">
        <f>G132/G129*100</f>
        <v>#DIV/0!</v>
      </c>
      <c r="I133" s="153" t="s">
        <v>112</v>
      </c>
      <c r="J133" s="133" t="s">
        <v>105</v>
      </c>
      <c r="K133" s="133"/>
      <c r="L133" s="133"/>
      <c r="M133" s="133"/>
      <c r="N133" s="133"/>
      <c r="O133" s="218" t="e">
        <f>O132/O129*100</f>
        <v>#DIV/0!</v>
      </c>
      <c r="Q133" s="153" t="s">
        <v>112</v>
      </c>
      <c r="R133" s="133" t="s">
        <v>105</v>
      </c>
      <c r="S133" s="133"/>
      <c r="T133" s="133"/>
      <c r="U133" s="133"/>
      <c r="V133" s="133"/>
      <c r="W133" s="218" t="e">
        <f>W132/W129*100</f>
        <v>#DIV/0!</v>
      </c>
    </row>
    <row r="134">
      <c r="A134" s="153" t="s">
        <v>106</v>
      </c>
      <c r="B134" s="133" t="s">
        <v>107</v>
      </c>
      <c r="C134" s="133"/>
      <c r="D134" s="133"/>
      <c r="E134" s="133"/>
      <c r="F134" s="133"/>
      <c r="G134" s="218" t="e">
        <f>G129/SUM(D105:D114)</f>
        <v>#DIV/0!</v>
      </c>
      <c r="I134" s="153" t="s">
        <v>106</v>
      </c>
      <c r="J134" s="133" t="s">
        <v>107</v>
      </c>
      <c r="K134" s="133"/>
      <c r="L134" s="133"/>
      <c r="M134" s="133"/>
      <c r="N134" s="133"/>
      <c r="O134" s="218" t="e">
        <f>O129/SUM(L105:L114)</f>
        <v>#DIV/0!</v>
      </c>
      <c r="Q134" s="153" t="s">
        <v>106</v>
      </c>
      <c r="R134" s="133" t="s">
        <v>107</v>
      </c>
      <c r="S134" s="133"/>
      <c r="T134" s="133"/>
      <c r="U134" s="133"/>
      <c r="V134" s="133"/>
      <c r="W134" s="218" t="e">
        <f>W129/SUM(T105:T114)</f>
        <v>#DIV/0!</v>
      </c>
    </row>
    <row r="135">
      <c r="A135" s="154" t="s">
        <v>113</v>
      </c>
      <c r="B135" s="135" t="s">
        <v>118</v>
      </c>
      <c r="C135" s="135"/>
      <c r="D135" s="135"/>
      <c r="E135" s="135"/>
      <c r="F135" s="135"/>
      <c r="G135" s="199" t="e">
        <f>G132/SUM(C105:C114)</f>
        <v>#DIV/0!</v>
      </c>
      <c r="I135" s="154" t="s">
        <v>113</v>
      </c>
      <c r="J135" s="135" t="s">
        <v>118</v>
      </c>
      <c r="K135" s="135"/>
      <c r="L135" s="135"/>
      <c r="M135" s="135"/>
      <c r="N135" s="135"/>
      <c r="O135" s="199" t="e">
        <f>O132/SUM(K105:K114)</f>
        <v>#DIV/0!</v>
      </c>
      <c r="Q135" s="154" t="s">
        <v>113</v>
      </c>
      <c r="R135" s="135" t="s">
        <v>118</v>
      </c>
      <c r="S135" s="135"/>
      <c r="T135" s="135"/>
      <c r="U135" s="135"/>
      <c r="V135" s="135"/>
      <c r="W135" s="199" t="e">
        <f>W132/SUM(S105:S114)</f>
        <v>#DIV/0!</v>
      </c>
    </row>
  </sheetData>
  <mergeCells count="324">
    <mergeCell ref="A1:A26"/>
    <mergeCell ref="B1:G1"/>
    <mergeCell ref="I1:I26"/>
    <mergeCell ref="J1:O1"/>
    <mergeCell ref="Q1:Q26"/>
    <mergeCell ref="R1:W1"/>
    <mergeCell ref="G3:G12"/>
    <mergeCell ref="O3:O12"/>
    <mergeCell ref="W3:W12"/>
    <mergeCell ref="B13:E13"/>
    <mergeCell ref="G13:G25"/>
    <mergeCell ref="J13:M13"/>
    <mergeCell ref="O13:O25"/>
    <mergeCell ref="R13:U13"/>
    <mergeCell ref="W13:W25"/>
    <mergeCell ref="B14:E14"/>
    <mergeCell ref="J14:M14"/>
    <mergeCell ref="R14:U14"/>
    <mergeCell ref="B15:E15"/>
    <mergeCell ref="J15:M15"/>
    <mergeCell ref="R15:U15"/>
    <mergeCell ref="B16:E16"/>
    <mergeCell ref="J16:M16"/>
    <mergeCell ref="R16:U16"/>
    <mergeCell ref="B17:E17"/>
    <mergeCell ref="J17:M17"/>
    <mergeCell ref="R17:U17"/>
    <mergeCell ref="B18:E18"/>
    <mergeCell ref="J18:M18"/>
    <mergeCell ref="R18:U18"/>
    <mergeCell ref="B19:E19"/>
    <mergeCell ref="J19:M19"/>
    <mergeCell ref="R19:U19"/>
    <mergeCell ref="B20:E20"/>
    <mergeCell ref="J20:M20"/>
    <mergeCell ref="R20:U20"/>
    <mergeCell ref="B21:E21"/>
    <mergeCell ref="J21:M21"/>
    <mergeCell ref="R21:U21"/>
    <mergeCell ref="B22:E22"/>
    <mergeCell ref="J22:M22"/>
    <mergeCell ref="R22:U22"/>
    <mergeCell ref="B23:E23"/>
    <mergeCell ref="J23:M23"/>
    <mergeCell ref="R23:U23"/>
    <mergeCell ref="B24:E24"/>
    <mergeCell ref="J24:M24"/>
    <mergeCell ref="R24:U24"/>
    <mergeCell ref="B25:E25"/>
    <mergeCell ref="J25:M25"/>
    <mergeCell ref="R25:U25"/>
    <mergeCell ref="B26:F26"/>
    <mergeCell ref="J26:N26"/>
    <mergeCell ref="R26:V26"/>
    <mergeCell ref="A27:A29"/>
    <mergeCell ref="B27:E27"/>
    <mergeCell ref="G27:G29"/>
    <mergeCell ref="I27:I29"/>
    <mergeCell ref="J27:M27"/>
    <mergeCell ref="O27:O29"/>
    <mergeCell ref="Q27:Q29"/>
    <mergeCell ref="R27:U27"/>
    <mergeCell ref="W27:W29"/>
    <mergeCell ref="B28:E28"/>
    <mergeCell ref="J28:M28"/>
    <mergeCell ref="R28:U28"/>
    <mergeCell ref="B29:E29"/>
    <mergeCell ref="J29:M29"/>
    <mergeCell ref="R29:U29"/>
    <mergeCell ref="B30:F30"/>
    <mergeCell ref="J30:N30"/>
    <mergeCell ref="R30:V30"/>
    <mergeCell ref="B31:F31"/>
    <mergeCell ref="J31:N31"/>
    <mergeCell ref="R31:V31"/>
    <mergeCell ref="B32:F32"/>
    <mergeCell ref="J32:N32"/>
    <mergeCell ref="R32:V32"/>
    <mergeCell ref="B33:F33"/>
    <mergeCell ref="J33:N33"/>
    <mergeCell ref="R33:V33"/>
    <mergeCell ref="A35:A60"/>
    <mergeCell ref="B35:G35"/>
    <mergeCell ref="I35:I60"/>
    <mergeCell ref="J35:O35"/>
    <mergeCell ref="Q35:Q60"/>
    <mergeCell ref="R35:W35"/>
    <mergeCell ref="G37:G46"/>
    <mergeCell ref="O37:O46"/>
    <mergeCell ref="W37:W46"/>
    <mergeCell ref="B47:E47"/>
    <mergeCell ref="G47:G59"/>
    <mergeCell ref="J47:M47"/>
    <mergeCell ref="O47:O59"/>
    <mergeCell ref="R47:U47"/>
    <mergeCell ref="W47:W59"/>
    <mergeCell ref="B48:E48"/>
    <mergeCell ref="J48:M48"/>
    <mergeCell ref="R48:U48"/>
    <mergeCell ref="B49:E49"/>
    <mergeCell ref="J49:M49"/>
    <mergeCell ref="R49:U49"/>
    <mergeCell ref="B50:E50"/>
    <mergeCell ref="J50:M50"/>
    <mergeCell ref="R50:U50"/>
    <mergeCell ref="B51:E51"/>
    <mergeCell ref="J51:M51"/>
    <mergeCell ref="R51:U51"/>
    <mergeCell ref="B52:E52"/>
    <mergeCell ref="J52:M52"/>
    <mergeCell ref="R52:U52"/>
    <mergeCell ref="B53:E53"/>
    <mergeCell ref="J53:M53"/>
    <mergeCell ref="R53:U53"/>
    <mergeCell ref="B54:E54"/>
    <mergeCell ref="J54:M54"/>
    <mergeCell ref="R54:U54"/>
    <mergeCell ref="B55:E55"/>
    <mergeCell ref="J55:M55"/>
    <mergeCell ref="R55:U55"/>
    <mergeCell ref="B56:E56"/>
    <mergeCell ref="J56:M56"/>
    <mergeCell ref="R56:U56"/>
    <mergeCell ref="B57:E57"/>
    <mergeCell ref="J57:M57"/>
    <mergeCell ref="R57:U57"/>
    <mergeCell ref="B58:E58"/>
    <mergeCell ref="J58:M58"/>
    <mergeCell ref="R58:U58"/>
    <mergeCell ref="B59:E59"/>
    <mergeCell ref="J59:M59"/>
    <mergeCell ref="R59:U59"/>
    <mergeCell ref="B60:F60"/>
    <mergeCell ref="J60:N60"/>
    <mergeCell ref="R60:V60"/>
    <mergeCell ref="A61:A63"/>
    <mergeCell ref="B61:E61"/>
    <mergeCell ref="G61:G63"/>
    <mergeCell ref="I61:I63"/>
    <mergeCell ref="J61:M61"/>
    <mergeCell ref="O61:O63"/>
    <mergeCell ref="Q61:Q63"/>
    <mergeCell ref="R61:U61"/>
    <mergeCell ref="W61:W63"/>
    <mergeCell ref="B62:E62"/>
    <mergeCell ref="J62:M62"/>
    <mergeCell ref="R62:U62"/>
    <mergeCell ref="B63:E63"/>
    <mergeCell ref="J63:M63"/>
    <mergeCell ref="R63:U63"/>
    <mergeCell ref="B64:F64"/>
    <mergeCell ref="J64:N64"/>
    <mergeCell ref="R64:V64"/>
    <mergeCell ref="B65:F65"/>
    <mergeCell ref="J65:N65"/>
    <mergeCell ref="R65:V65"/>
    <mergeCell ref="B66:F66"/>
    <mergeCell ref="J66:N66"/>
    <mergeCell ref="R66:V66"/>
    <mergeCell ref="B67:F67"/>
    <mergeCell ref="J67:N67"/>
    <mergeCell ref="R67:V67"/>
    <mergeCell ref="A69:A94"/>
    <mergeCell ref="B69:G69"/>
    <mergeCell ref="I69:I94"/>
    <mergeCell ref="J69:O69"/>
    <mergeCell ref="Q69:Q94"/>
    <mergeCell ref="R69:W69"/>
    <mergeCell ref="G71:G80"/>
    <mergeCell ref="O71:O80"/>
    <mergeCell ref="W71:W80"/>
    <mergeCell ref="B81:E81"/>
    <mergeCell ref="G81:G93"/>
    <mergeCell ref="J81:M81"/>
    <mergeCell ref="O81:O93"/>
    <mergeCell ref="R81:U81"/>
    <mergeCell ref="W81:W93"/>
    <mergeCell ref="B82:E82"/>
    <mergeCell ref="J82:M82"/>
    <mergeCell ref="R82:U82"/>
    <mergeCell ref="B83:E83"/>
    <mergeCell ref="J83:M83"/>
    <mergeCell ref="R83:U83"/>
    <mergeCell ref="B84:E84"/>
    <mergeCell ref="J84:M84"/>
    <mergeCell ref="R84:U84"/>
    <mergeCell ref="B85:E85"/>
    <mergeCell ref="J85:M85"/>
    <mergeCell ref="R85:U85"/>
    <mergeCell ref="B86:E86"/>
    <mergeCell ref="J86:M86"/>
    <mergeCell ref="R86:U86"/>
    <mergeCell ref="B87:E87"/>
    <mergeCell ref="J87:M87"/>
    <mergeCell ref="R87:U87"/>
    <mergeCell ref="B88:E88"/>
    <mergeCell ref="J88:M88"/>
    <mergeCell ref="R88:U88"/>
    <mergeCell ref="B89:E89"/>
    <mergeCell ref="J89:M89"/>
    <mergeCell ref="R89:U89"/>
    <mergeCell ref="B90:E90"/>
    <mergeCell ref="J90:M90"/>
    <mergeCell ref="R90:U90"/>
    <mergeCell ref="B91:E91"/>
    <mergeCell ref="J91:M91"/>
    <mergeCell ref="R91:U91"/>
    <mergeCell ref="B92:E92"/>
    <mergeCell ref="J92:M92"/>
    <mergeCell ref="R92:U92"/>
    <mergeCell ref="B93:E93"/>
    <mergeCell ref="J93:M93"/>
    <mergeCell ref="R93:U93"/>
    <mergeCell ref="B94:F94"/>
    <mergeCell ref="J94:N94"/>
    <mergeCell ref="R94:V94"/>
    <mergeCell ref="A95:A97"/>
    <mergeCell ref="B95:E95"/>
    <mergeCell ref="G95:G97"/>
    <mergeCell ref="I95:I97"/>
    <mergeCell ref="J95:M95"/>
    <mergeCell ref="O95:O97"/>
    <mergeCell ref="Q95:Q97"/>
    <mergeCell ref="R95:U95"/>
    <mergeCell ref="W95:W97"/>
    <mergeCell ref="B96:E96"/>
    <mergeCell ref="J96:M96"/>
    <mergeCell ref="R96:U96"/>
    <mergeCell ref="B97:E97"/>
    <mergeCell ref="J97:M97"/>
    <mergeCell ref="R97:U97"/>
    <mergeCell ref="B98:F98"/>
    <mergeCell ref="J98:N98"/>
    <mergeCell ref="R98:V98"/>
    <mergeCell ref="B99:F99"/>
    <mergeCell ref="J99:N99"/>
    <mergeCell ref="R99:V99"/>
    <mergeCell ref="B100:F100"/>
    <mergeCell ref="J100:N100"/>
    <mergeCell ref="R100:V100"/>
    <mergeCell ref="B101:F101"/>
    <mergeCell ref="J101:N101"/>
    <mergeCell ref="R101:V101"/>
    <mergeCell ref="A103:A128"/>
    <mergeCell ref="B103:G103"/>
    <mergeCell ref="I103:I128"/>
    <mergeCell ref="J103:O103"/>
    <mergeCell ref="Q103:Q128"/>
    <mergeCell ref="R103:W103"/>
    <mergeCell ref="G105:G114"/>
    <mergeCell ref="O105:O114"/>
    <mergeCell ref="W105:W114"/>
    <mergeCell ref="B115:E115"/>
    <mergeCell ref="G115:G127"/>
    <mergeCell ref="J115:M115"/>
    <mergeCell ref="O115:O127"/>
    <mergeCell ref="R115:U115"/>
    <mergeCell ref="W115:W127"/>
    <mergeCell ref="B116:E116"/>
    <mergeCell ref="J116:M116"/>
    <mergeCell ref="R116:U116"/>
    <mergeCell ref="B117:E117"/>
    <mergeCell ref="J117:M117"/>
    <mergeCell ref="R117:U117"/>
    <mergeCell ref="B118:E118"/>
    <mergeCell ref="J118:M118"/>
    <mergeCell ref="R118:U118"/>
    <mergeCell ref="B119:E119"/>
    <mergeCell ref="J119:M119"/>
    <mergeCell ref="R119:U119"/>
    <mergeCell ref="B120:E120"/>
    <mergeCell ref="J120:M120"/>
    <mergeCell ref="R120:U120"/>
    <mergeCell ref="B121:E121"/>
    <mergeCell ref="J121:M121"/>
    <mergeCell ref="R121:U121"/>
    <mergeCell ref="B122:E122"/>
    <mergeCell ref="J122:M122"/>
    <mergeCell ref="R122:U122"/>
    <mergeCell ref="B123:E123"/>
    <mergeCell ref="J123:M123"/>
    <mergeCell ref="R123:U123"/>
    <mergeCell ref="B124:E124"/>
    <mergeCell ref="J124:M124"/>
    <mergeCell ref="R124:U124"/>
    <mergeCell ref="B125:E125"/>
    <mergeCell ref="J125:M125"/>
    <mergeCell ref="R125:U125"/>
    <mergeCell ref="B126:E126"/>
    <mergeCell ref="J126:M126"/>
    <mergeCell ref="R126:U126"/>
    <mergeCell ref="B127:E127"/>
    <mergeCell ref="J127:M127"/>
    <mergeCell ref="R127:U127"/>
    <mergeCell ref="B128:F128"/>
    <mergeCell ref="J128:N128"/>
    <mergeCell ref="R128:V128"/>
    <mergeCell ref="A129:A131"/>
    <mergeCell ref="B129:E129"/>
    <mergeCell ref="G129:G131"/>
    <mergeCell ref="I129:I131"/>
    <mergeCell ref="J129:M129"/>
    <mergeCell ref="O129:O131"/>
    <mergeCell ref="Q129:Q131"/>
    <mergeCell ref="R129:U129"/>
    <mergeCell ref="W129:W131"/>
    <mergeCell ref="B130:E130"/>
    <mergeCell ref="J130:M130"/>
    <mergeCell ref="R130:U130"/>
    <mergeCell ref="B131:E131"/>
    <mergeCell ref="J131:M131"/>
    <mergeCell ref="R131:U131"/>
    <mergeCell ref="B132:F132"/>
    <mergeCell ref="J132:N132"/>
    <mergeCell ref="R132:V132"/>
    <mergeCell ref="B133:F133"/>
    <mergeCell ref="J133:N133"/>
    <mergeCell ref="R133:V133"/>
    <mergeCell ref="B134:F134"/>
    <mergeCell ref="J134:N134"/>
    <mergeCell ref="R134:V134"/>
    <mergeCell ref="B135:F135"/>
    <mergeCell ref="J135:N135"/>
    <mergeCell ref="R135:V1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28" zoomScale="70" zoomScaleNormal="70">
      <selection activeCell="AA32" activeCellId="0" sqref="AA32"/>
    </sheetView>
  </sheetViews>
  <sheetFormatPr defaultRowHeight="15" outlineLevelRow="0" outlineLevelCol="0"/>
  <cols>
    <col min="1" max="1" width="19" customWidth="1"/>
  </cols>
  <sheetData>
    <row r="1">
      <c r="A1" s="208" t="s">
        <v>119</v>
      </c>
      <c r="B1" s="209" t="s">
        <v>121</v>
      </c>
      <c r="C1" s="209"/>
      <c r="D1" s="209" t="s">
        <v>122</v>
      </c>
      <c r="E1" s="209"/>
      <c r="F1" s="209" t="s">
        <v>123</v>
      </c>
      <c r="G1" s="209"/>
      <c r="H1" s="209" t="s">
        <v>133</v>
      </c>
      <c r="I1" s="209" t="s">
        <v>124</v>
      </c>
      <c r="J1" s="209"/>
      <c r="K1" s="209" t="s">
        <v>125</v>
      </c>
      <c r="L1" s="209"/>
      <c r="M1" s="209" t="s">
        <v>126</v>
      </c>
      <c r="N1" s="209"/>
      <c r="O1" s="209" t="s">
        <v>133</v>
      </c>
      <c r="P1" s="209" t="s">
        <v>127</v>
      </c>
      <c r="Q1" s="209"/>
      <c r="R1" s="209" t="s">
        <v>128</v>
      </c>
      <c r="S1" s="209"/>
      <c r="T1" s="209" t="s">
        <v>129</v>
      </c>
      <c r="U1" s="209"/>
      <c r="V1" s="209" t="s">
        <v>133</v>
      </c>
      <c r="W1" s="209" t="s">
        <v>130</v>
      </c>
      <c r="X1" s="209"/>
      <c r="Y1" s="209" t="s">
        <v>131</v>
      </c>
      <c r="Z1" s="209"/>
      <c r="AA1" s="209" t="s">
        <v>132</v>
      </c>
      <c r="AB1" s="209"/>
      <c r="AC1" s="209" t="s">
        <v>133</v>
      </c>
      <c r="AD1" s="210" t="s">
        <v>134</v>
      </c>
    </row>
    <row r="2">
      <c r="A2" s="211"/>
      <c r="B2" s="206">
        <v>1</v>
      </c>
      <c r="C2" s="206">
        <v>2</v>
      </c>
      <c r="D2" s="206">
        <v>1</v>
      </c>
      <c r="E2" s="206">
        <v>2</v>
      </c>
      <c r="F2" s="206">
        <v>1</v>
      </c>
      <c r="G2" s="206">
        <v>2</v>
      </c>
      <c r="H2" s="206"/>
      <c r="I2" s="206">
        <v>1</v>
      </c>
      <c r="J2" s="206">
        <v>2</v>
      </c>
      <c r="K2" s="206">
        <v>1</v>
      </c>
      <c r="L2" s="206">
        <v>2</v>
      </c>
      <c r="M2" s="206">
        <v>1</v>
      </c>
      <c r="N2" s="206">
        <v>2</v>
      </c>
      <c r="O2" s="206"/>
      <c r="P2" s="206">
        <v>1</v>
      </c>
      <c r="Q2" s="206">
        <v>2</v>
      </c>
      <c r="R2" s="206">
        <v>1</v>
      </c>
      <c r="S2" s="206">
        <v>2</v>
      </c>
      <c r="T2" s="206">
        <v>1</v>
      </c>
      <c r="U2" s="206">
        <v>2</v>
      </c>
      <c r="V2" s="206"/>
      <c r="W2" s="206">
        <v>1</v>
      </c>
      <c r="X2" s="206">
        <v>2</v>
      </c>
      <c r="Y2" s="206">
        <v>1</v>
      </c>
      <c r="Z2" s="206">
        <v>2</v>
      </c>
      <c r="AA2" s="206">
        <v>1</v>
      </c>
      <c r="AB2" s="206">
        <v>2</v>
      </c>
      <c r="AC2" s="99"/>
      <c r="AD2" s="107"/>
    </row>
    <row r="3">
      <c r="A3" s="16" t="s">
        <v>119</v>
      </c>
      <c r="B3" s="55"/>
      <c r="C3" s="56"/>
      <c r="F3" s="55"/>
      <c r="G3" s="56"/>
      <c r="H3" s="45">
        <f>SUM(B3:G3)</f>
        <v>0</v>
      </c>
      <c r="I3" s="55"/>
      <c r="J3" s="56"/>
      <c r="M3" s="55"/>
      <c r="N3" s="56"/>
      <c r="O3" s="45">
        <f>SUM(I3:N3)</f>
        <v>0</v>
      </c>
      <c r="P3" s="55"/>
      <c r="Q3" s="56"/>
      <c r="T3" s="55"/>
      <c r="U3" s="56"/>
      <c r="V3" s="45">
        <f>SUM(P3:U3)</f>
        <v>0</v>
      </c>
      <c r="W3" s="55"/>
      <c r="X3" s="56"/>
      <c r="AA3" s="55"/>
      <c r="AB3" s="56"/>
      <c r="AC3" s="45">
        <f>SUM(W3:AB3)</f>
        <v>0</v>
      </c>
      <c r="AD3" s="253">
        <f>SUM(H3+O3+V3+AC3)</f>
        <v>0</v>
      </c>
    </row>
    <row r="4">
      <c r="A4" s="16" t="s">
        <v>119</v>
      </c>
      <c r="B4" s="55"/>
      <c r="C4" s="56"/>
      <c r="F4" s="55"/>
      <c r="G4" s="56"/>
      <c r="H4" s="45">
        <f>SUM(B4:G4)</f>
        <v>0</v>
      </c>
      <c r="I4" s="55"/>
      <c r="J4" s="56"/>
      <c r="M4" s="55"/>
      <c r="N4" s="56"/>
      <c r="O4" s="45">
        <f>SUM(I4:N4)</f>
        <v>0</v>
      </c>
      <c r="P4" s="55"/>
      <c r="Q4" s="56"/>
      <c r="T4" s="55"/>
      <c r="U4" s="56"/>
      <c r="V4" s="45">
        <f>SUM(P4:U4)</f>
        <v>0</v>
      </c>
      <c r="W4" s="55"/>
      <c r="X4" s="56"/>
      <c r="AA4" s="55"/>
      <c r="AB4" s="56"/>
      <c r="AC4" s="45">
        <f>SUM(W4:AB4)</f>
        <v>0</v>
      </c>
      <c r="AD4" s="253">
        <f>SUM(H4+O4+V4+AC4)</f>
        <v>0</v>
      </c>
    </row>
    <row r="5">
      <c r="A5" s="16" t="s">
        <v>119</v>
      </c>
      <c r="B5" s="55"/>
      <c r="C5" s="56"/>
      <c r="F5" s="55"/>
      <c r="G5" s="56"/>
      <c r="H5" s="45">
        <f>SUM(B5:G5)</f>
        <v>0</v>
      </c>
      <c r="I5" s="55"/>
      <c r="J5" s="56"/>
      <c r="M5" s="55"/>
      <c r="N5" s="56"/>
      <c r="O5" s="45">
        <f>SUM(I5:N5)</f>
        <v>0</v>
      </c>
      <c r="P5" s="55"/>
      <c r="Q5" s="56"/>
      <c r="T5" s="55"/>
      <c r="U5" s="56"/>
      <c r="V5" s="45">
        <f>SUM(P5:U5)</f>
        <v>0</v>
      </c>
      <c r="W5" s="55"/>
      <c r="X5" s="56"/>
      <c r="AA5" s="55"/>
      <c r="AB5" s="56"/>
      <c r="AC5" s="45">
        <f>SUM(W5:AB5)</f>
        <v>0</v>
      </c>
      <c r="AD5" s="253">
        <f>SUM(H5+O5+V5+AC5)</f>
        <v>0</v>
      </c>
    </row>
    <row r="6">
      <c r="A6" s="16" t="s">
        <v>119</v>
      </c>
      <c r="B6" s="55"/>
      <c r="C6" s="56"/>
      <c r="F6" s="55"/>
      <c r="G6" s="56"/>
      <c r="H6" s="45">
        <f>SUM(B6:G6)</f>
        <v>0</v>
      </c>
      <c r="I6" s="55"/>
      <c r="J6" s="56"/>
      <c r="M6" s="55"/>
      <c r="N6" s="56"/>
      <c r="O6" s="45">
        <f>SUM(I6:N6)</f>
        <v>0</v>
      </c>
      <c r="P6" s="55"/>
      <c r="Q6" s="56"/>
      <c r="T6" s="55"/>
      <c r="U6" s="56"/>
      <c r="V6" s="45">
        <f>SUM(P6:U6)</f>
        <v>0</v>
      </c>
      <c r="W6" s="55"/>
      <c r="X6" s="56"/>
      <c r="AA6" s="55"/>
      <c r="AB6" s="56"/>
      <c r="AC6" s="45">
        <f>SUM(W6:AB6)</f>
        <v>0</v>
      </c>
      <c r="AD6" s="253">
        <f>SUM(H6+O6+V6+AC6)</f>
        <v>0</v>
      </c>
    </row>
    <row r="7">
      <c r="A7" s="16" t="s">
        <v>119</v>
      </c>
      <c r="B7" s="55"/>
      <c r="C7" s="56"/>
      <c r="F7" s="55"/>
      <c r="G7" s="56"/>
      <c r="H7" s="45">
        <f>SUM(B7:G7)</f>
        <v>0</v>
      </c>
      <c r="I7" s="55"/>
      <c r="J7" s="56"/>
      <c r="M7" s="55"/>
      <c r="N7" s="56"/>
      <c r="O7" s="45">
        <f>SUM(I7:N7)</f>
        <v>0</v>
      </c>
      <c r="P7" s="55"/>
      <c r="Q7" s="56"/>
      <c r="T7" s="55"/>
      <c r="U7" s="56"/>
      <c r="V7" s="45">
        <f>SUM(P7:U7)</f>
        <v>0</v>
      </c>
      <c r="W7" s="55"/>
      <c r="X7" s="56"/>
      <c r="AA7" s="55"/>
      <c r="AB7" s="56"/>
      <c r="AC7" s="45">
        <f>SUM(W7:AB7)</f>
        <v>0</v>
      </c>
      <c r="AD7" s="253">
        <f>SUM(H7+O7+V7+AC7)</f>
        <v>0</v>
      </c>
    </row>
    <row r="8">
      <c r="A8" s="16" t="s">
        <v>119</v>
      </c>
      <c r="B8" s="55"/>
      <c r="C8" s="56"/>
      <c r="F8" s="55"/>
      <c r="G8" s="56"/>
      <c r="H8" s="45">
        <f>SUM(B8:G8)</f>
        <v>0</v>
      </c>
      <c r="I8" s="55"/>
      <c r="J8" s="56"/>
      <c r="M8" s="55"/>
      <c r="N8" s="56"/>
      <c r="O8" s="45">
        <f>SUM(I8:N8)</f>
        <v>0</v>
      </c>
      <c r="P8" s="55"/>
      <c r="Q8" s="56"/>
      <c r="T8" s="55"/>
      <c r="U8" s="56"/>
      <c r="V8" s="45">
        <f>SUM(P8:U8)</f>
        <v>0</v>
      </c>
      <c r="W8" s="55"/>
      <c r="X8" s="56"/>
      <c r="AA8" s="55"/>
      <c r="AB8" s="56"/>
      <c r="AC8" s="45">
        <f>SUM(W8:AB8)</f>
        <v>0</v>
      </c>
      <c r="AD8" s="253">
        <f>SUM(H8+O8+V8+AC8)</f>
        <v>0</v>
      </c>
    </row>
    <row r="9">
      <c r="A9" s="16" t="s">
        <v>119</v>
      </c>
      <c r="B9" s="55"/>
      <c r="C9" s="56"/>
      <c r="F9" s="55"/>
      <c r="G9" s="56"/>
      <c r="H9" s="45">
        <f>SUM(B9:G9)</f>
        <v>0</v>
      </c>
      <c r="I9" s="55"/>
      <c r="J9" s="56"/>
      <c r="M9" s="55"/>
      <c r="N9" s="56"/>
      <c r="O9" s="45">
        <f>SUM(I9:N9)</f>
        <v>0</v>
      </c>
      <c r="P9" s="55"/>
      <c r="Q9" s="56"/>
      <c r="T9" s="55"/>
      <c r="U9" s="56"/>
      <c r="V9" s="45">
        <f>SUM(P9:U9)</f>
        <v>0</v>
      </c>
      <c r="W9" s="55"/>
      <c r="X9" s="56"/>
      <c r="AA9" s="55"/>
      <c r="AB9" s="56"/>
      <c r="AC9" s="45">
        <f>SUM(W9:AB9)</f>
        <v>0</v>
      </c>
      <c r="AD9" s="253">
        <f>SUM(H9+O9+V9+AC9)</f>
        <v>0</v>
      </c>
    </row>
    <row r="10">
      <c r="A10" s="16" t="s">
        <v>119</v>
      </c>
      <c r="B10" s="55"/>
      <c r="C10" s="56"/>
      <c r="F10" s="55"/>
      <c r="G10" s="56"/>
      <c r="H10" s="45">
        <f>SUM(B10:G10)</f>
        <v>0</v>
      </c>
      <c r="I10" s="55"/>
      <c r="J10" s="56"/>
      <c r="M10" s="55"/>
      <c r="N10" s="56"/>
      <c r="O10" s="45">
        <f>SUM(I10:N10)</f>
        <v>0</v>
      </c>
      <c r="P10" s="55"/>
      <c r="Q10" s="56"/>
      <c r="T10" s="55"/>
      <c r="U10" s="56"/>
      <c r="V10" s="45">
        <f>SUM(P10:U10)</f>
        <v>0</v>
      </c>
      <c r="W10" s="55"/>
      <c r="X10" s="56"/>
      <c r="AA10" s="55"/>
      <c r="AB10" s="56"/>
      <c r="AC10" s="45">
        <f>SUM(W10:AB10)</f>
        <v>0</v>
      </c>
      <c r="AD10" s="253">
        <f>SUM(H10+O10+V10+AC10)</f>
        <v>0</v>
      </c>
    </row>
    <row r="11">
      <c r="A11" s="16" t="s">
        <v>119</v>
      </c>
      <c r="B11" s="55"/>
      <c r="C11" s="56"/>
      <c r="F11" s="55"/>
      <c r="G11" s="56"/>
      <c r="H11" s="45">
        <f>SUM(B11:G11)</f>
        <v>0</v>
      </c>
      <c r="I11" s="55"/>
      <c r="J11" s="56"/>
      <c r="M11" s="55"/>
      <c r="N11" s="56"/>
      <c r="O11" s="45">
        <f>SUM(I11:N11)</f>
        <v>0</v>
      </c>
      <c r="P11" s="55"/>
      <c r="Q11" s="56"/>
      <c r="T11" s="55"/>
      <c r="U11" s="56"/>
      <c r="V11" s="45">
        <f>SUM(P11:U11)</f>
        <v>0</v>
      </c>
      <c r="W11" s="55"/>
      <c r="X11" s="56"/>
      <c r="AA11" s="55"/>
      <c r="AB11" s="56"/>
      <c r="AC11" s="45">
        <f>SUM(W11:AB11)</f>
        <v>0</v>
      </c>
      <c r="AD11" s="253">
        <f>SUM(H11+O11+V11+AC11)</f>
        <v>0</v>
      </c>
    </row>
    <row r="12">
      <c r="A12" s="16" t="s">
        <v>119</v>
      </c>
      <c r="B12" s="55"/>
      <c r="C12" s="56"/>
      <c r="F12" s="55"/>
      <c r="G12" s="56"/>
      <c r="H12" s="45">
        <f>SUM(B12:G12)</f>
        <v>0</v>
      </c>
      <c r="I12" s="55"/>
      <c r="J12" s="56"/>
      <c r="M12" s="55"/>
      <c r="N12" s="56"/>
      <c r="O12" s="45">
        <f>SUM(I12:N12)</f>
        <v>0</v>
      </c>
      <c r="P12" s="55"/>
      <c r="Q12" s="56"/>
      <c r="T12" s="55"/>
      <c r="U12" s="56"/>
      <c r="V12" s="45">
        <f>SUM(P12:U12)</f>
        <v>0</v>
      </c>
      <c r="W12" s="55"/>
      <c r="X12" s="56"/>
      <c r="AA12" s="55"/>
      <c r="AB12" s="56"/>
      <c r="AC12" s="45">
        <f>SUM(W12:AB12)</f>
        <v>0</v>
      </c>
      <c r="AD12" s="253">
        <f>SUM(H12+O12+V12+AC12)</f>
        <v>0</v>
      </c>
    </row>
    <row r="13">
      <c r="A13" s="16" t="s">
        <v>119</v>
      </c>
      <c r="B13" s="55"/>
      <c r="C13" s="56"/>
      <c r="F13" s="55"/>
      <c r="G13" s="56"/>
      <c r="H13" s="45">
        <f>SUM(B13:G13)</f>
        <v>0</v>
      </c>
      <c r="I13" s="55"/>
      <c r="J13" s="56"/>
      <c r="M13" s="55"/>
      <c r="N13" s="56"/>
      <c r="O13" s="45">
        <f>SUM(I13:N13)</f>
        <v>0</v>
      </c>
      <c r="P13" s="55"/>
      <c r="Q13" s="56"/>
      <c r="T13" s="55"/>
      <c r="U13" s="56"/>
      <c r="V13" s="45">
        <f>SUM(P13:U13)</f>
        <v>0</v>
      </c>
      <c r="W13" s="55"/>
      <c r="X13" s="56"/>
      <c r="AA13" s="55"/>
      <c r="AB13" s="56"/>
      <c r="AC13" s="45">
        <f>SUM(W13:AB13)</f>
        <v>0</v>
      </c>
      <c r="AD13" s="253">
        <f>SUM(H13+O13+V13+AC13)</f>
        <v>0</v>
      </c>
    </row>
    <row r="14">
      <c r="A14" s="16" t="s">
        <v>119</v>
      </c>
      <c r="B14" s="55"/>
      <c r="C14" s="56"/>
      <c r="F14" s="55"/>
      <c r="G14" s="56"/>
      <c r="H14" s="45">
        <f>SUM(B14:G14)</f>
        <v>0</v>
      </c>
      <c r="I14" s="55"/>
      <c r="J14" s="56"/>
      <c r="M14" s="55"/>
      <c r="N14" s="56"/>
      <c r="O14" s="45">
        <f>SUM(I14:N14)</f>
        <v>0</v>
      </c>
      <c r="P14" s="55"/>
      <c r="Q14" s="56"/>
      <c r="T14" s="55"/>
      <c r="U14" s="56"/>
      <c r="V14" s="45">
        <f>SUM(P14:U14)</f>
        <v>0</v>
      </c>
      <c r="W14" s="55"/>
      <c r="X14" s="56"/>
      <c r="AA14" s="55"/>
      <c r="AB14" s="56"/>
      <c r="AC14" s="45">
        <f>SUM(W14:AB14)</f>
        <v>0</v>
      </c>
      <c r="AD14" s="253">
        <f>SUM(H14+O14+V14+AC14)</f>
        <v>0</v>
      </c>
    </row>
    <row r="15">
      <c r="A15" s="16" t="s">
        <v>119</v>
      </c>
      <c r="B15" s="55"/>
      <c r="C15" s="56"/>
      <c r="F15" s="55"/>
      <c r="G15" s="56"/>
      <c r="H15" s="45">
        <f>SUM(B15:G15)</f>
        <v>0</v>
      </c>
      <c r="I15" s="55"/>
      <c r="J15" s="56"/>
      <c r="M15" s="55"/>
      <c r="N15" s="56"/>
      <c r="O15" s="45">
        <f>SUM(I15:N15)</f>
        <v>0</v>
      </c>
      <c r="P15" s="55"/>
      <c r="Q15" s="56"/>
      <c r="T15" s="55"/>
      <c r="U15" s="56"/>
      <c r="V15" s="45">
        <f>SUM(P15:U15)</f>
        <v>0</v>
      </c>
      <c r="W15" s="55"/>
      <c r="X15" s="56"/>
      <c r="AA15" s="55"/>
      <c r="AB15" s="56"/>
      <c r="AC15" s="45">
        <f>SUM(W15:AB15)</f>
        <v>0</v>
      </c>
      <c r="AD15" s="253">
        <f>SUM(H15+O15+V15+AC15)</f>
        <v>0</v>
      </c>
    </row>
    <row r="16">
      <c r="A16" s="16" t="s">
        <v>119</v>
      </c>
      <c r="B16" s="55"/>
      <c r="C16" s="56"/>
      <c r="F16" s="55"/>
      <c r="G16" s="56"/>
      <c r="H16" s="45">
        <f>SUM(B16:G16)</f>
        <v>0</v>
      </c>
      <c r="I16" s="55"/>
      <c r="J16" s="56"/>
      <c r="M16" s="55"/>
      <c r="N16" s="56"/>
      <c r="O16" s="45">
        <f>SUM(I16:N16)</f>
        <v>0</v>
      </c>
      <c r="P16" s="55"/>
      <c r="Q16" s="56"/>
      <c r="T16" s="55"/>
      <c r="U16" s="56"/>
      <c r="V16" s="45">
        <f>SUM(P16:U16)</f>
        <v>0</v>
      </c>
      <c r="W16" s="55"/>
      <c r="X16" s="56"/>
      <c r="AA16" s="55"/>
      <c r="AB16" s="56"/>
      <c r="AC16" s="45">
        <f>SUM(W16:AB16)</f>
        <v>0</v>
      </c>
      <c r="AD16" s="253">
        <f>SUM(H16+O16+V16+AC16)</f>
        <v>0</v>
      </c>
    </row>
    <row r="17">
      <c r="A17" s="16" t="s">
        <v>119</v>
      </c>
      <c r="B17" s="55"/>
      <c r="C17" s="56"/>
      <c r="F17" s="55"/>
      <c r="G17" s="56"/>
      <c r="H17" s="45">
        <f>SUM(B17:G17)</f>
        <v>0</v>
      </c>
      <c r="I17" s="55"/>
      <c r="J17" s="56"/>
      <c r="M17" s="55"/>
      <c r="N17" s="56"/>
      <c r="O17" s="45">
        <f>SUM(I17:N17)</f>
        <v>0</v>
      </c>
      <c r="P17" s="55"/>
      <c r="Q17" s="56"/>
      <c r="T17" s="55"/>
      <c r="U17" s="56"/>
      <c r="V17" s="45">
        <f>SUM(P17:U17)</f>
        <v>0</v>
      </c>
      <c r="W17" s="55"/>
      <c r="X17" s="56"/>
      <c r="AA17" s="55"/>
      <c r="AB17" s="56"/>
      <c r="AC17" s="45">
        <f>SUM(W17:AB17)</f>
        <v>0</v>
      </c>
      <c r="AD17" s="253">
        <f>SUM(H17+O17+V17+AC17)</f>
        <v>0</v>
      </c>
    </row>
    <row r="18">
      <c r="A18" s="16" t="s">
        <v>119</v>
      </c>
      <c r="B18" s="55"/>
      <c r="C18" s="56"/>
      <c r="F18" s="55"/>
      <c r="G18" s="56"/>
      <c r="H18" s="45">
        <f>SUM(B18:G18)</f>
        <v>0</v>
      </c>
      <c r="I18" s="55"/>
      <c r="J18" s="56"/>
      <c r="M18" s="55"/>
      <c r="N18" s="56"/>
      <c r="O18" s="45">
        <f>SUM(I18:N18)</f>
        <v>0</v>
      </c>
      <c r="P18" s="55"/>
      <c r="Q18" s="56"/>
      <c r="T18" s="55"/>
      <c r="U18" s="56"/>
      <c r="V18" s="45">
        <f>SUM(P18:U18)</f>
        <v>0</v>
      </c>
      <c r="W18" s="55"/>
      <c r="X18" s="56"/>
      <c r="AA18" s="55"/>
      <c r="AB18" s="56"/>
      <c r="AC18" s="45">
        <f>SUM(W18:AB18)</f>
        <v>0</v>
      </c>
      <c r="AD18" s="253">
        <f>SUM(H18+O18+V18+AC18)</f>
        <v>0</v>
      </c>
    </row>
    <row r="19">
      <c r="A19" s="16" t="s">
        <v>119</v>
      </c>
      <c r="B19" s="55"/>
      <c r="C19" s="56"/>
      <c r="F19" s="55"/>
      <c r="G19" s="56"/>
      <c r="H19" s="45">
        <f>SUM(B19:G19)</f>
        <v>0</v>
      </c>
      <c r="I19" s="55"/>
      <c r="J19" s="56"/>
      <c r="M19" s="55"/>
      <c r="N19" s="56"/>
      <c r="O19" s="45">
        <f>SUM(I19:N19)</f>
        <v>0</v>
      </c>
      <c r="P19" s="55"/>
      <c r="Q19" s="56"/>
      <c r="T19" s="55"/>
      <c r="U19" s="56"/>
      <c r="V19" s="45">
        <f>SUM(P19:U19)</f>
        <v>0</v>
      </c>
      <c r="W19" s="55"/>
      <c r="X19" s="56"/>
      <c r="AA19" s="55"/>
      <c r="AB19" s="56"/>
      <c r="AC19" s="45">
        <f>SUM(W19:AB19)</f>
        <v>0</v>
      </c>
      <c r="AD19" s="253">
        <f>SUM(H19+O19+V19+AC19)</f>
        <v>0</v>
      </c>
    </row>
    <row r="20">
      <c r="A20" s="16" t="s">
        <v>119</v>
      </c>
      <c r="B20" s="55"/>
      <c r="C20" s="56"/>
      <c r="F20" s="55"/>
      <c r="G20" s="56"/>
      <c r="H20" s="45">
        <f>SUM(B20:G20)</f>
        <v>0</v>
      </c>
      <c r="I20" s="55"/>
      <c r="J20" s="56"/>
      <c r="M20" s="55"/>
      <c r="N20" s="56"/>
      <c r="O20" s="45">
        <f>SUM(I20:N20)</f>
        <v>0</v>
      </c>
      <c r="P20" s="55"/>
      <c r="Q20" s="56"/>
      <c r="T20" s="55"/>
      <c r="U20" s="56"/>
      <c r="V20" s="45">
        <f>SUM(P20:U20)</f>
        <v>0</v>
      </c>
      <c r="W20" s="55"/>
      <c r="X20" s="56"/>
      <c r="AA20" s="55"/>
      <c r="AB20" s="56"/>
      <c r="AC20" s="45">
        <f>SUM(W20:AB20)</f>
        <v>0</v>
      </c>
      <c r="AD20" s="253">
        <f>SUM(H20+O20+V20+AC20)</f>
        <v>0</v>
      </c>
    </row>
    <row r="21">
      <c r="A21" s="16" t="s">
        <v>119</v>
      </c>
      <c r="B21" s="55"/>
      <c r="C21" s="56"/>
      <c r="F21" s="55"/>
      <c r="G21" s="56"/>
      <c r="H21" s="45">
        <f>SUM(B21:G21)</f>
        <v>0</v>
      </c>
      <c r="I21" s="55"/>
      <c r="J21" s="56"/>
      <c r="M21" s="55"/>
      <c r="N21" s="56"/>
      <c r="O21" s="45">
        <f>SUM(I21:N21)</f>
        <v>0</v>
      </c>
      <c r="P21" s="55"/>
      <c r="Q21" s="56"/>
      <c r="T21" s="55"/>
      <c r="U21" s="56"/>
      <c r="V21" s="45">
        <f>SUM(P21:U21)</f>
        <v>0</v>
      </c>
      <c r="W21" s="55"/>
      <c r="X21" s="56"/>
      <c r="AA21" s="55"/>
      <c r="AB21" s="56"/>
      <c r="AC21" s="45">
        <f>SUM(W21:AB21)</f>
        <v>0</v>
      </c>
      <c r="AD21" s="253">
        <f>SUM(H21+O21+V21+AC21)</f>
        <v>0</v>
      </c>
    </row>
    <row r="22">
      <c r="A22" s="16" t="s">
        <v>119</v>
      </c>
      <c r="B22" s="55"/>
      <c r="C22" s="56"/>
      <c r="F22" s="55"/>
      <c r="G22" s="56"/>
      <c r="H22" s="45">
        <f>SUM(B22:G22)</f>
        <v>0</v>
      </c>
      <c r="I22" s="55"/>
      <c r="J22" s="56"/>
      <c r="M22" s="55"/>
      <c r="N22" s="56"/>
      <c r="O22" s="45">
        <f>SUM(I22:N22)</f>
        <v>0</v>
      </c>
      <c r="P22" s="55"/>
      <c r="Q22" s="56"/>
      <c r="T22" s="55"/>
      <c r="U22" s="56"/>
      <c r="V22" s="45">
        <f>SUM(P22:U22)</f>
        <v>0</v>
      </c>
      <c r="W22" s="55"/>
      <c r="X22" s="56"/>
      <c r="AA22" s="55"/>
      <c r="AB22" s="56"/>
      <c r="AC22" s="45">
        <f>SUM(W22:AB22)</f>
        <v>0</v>
      </c>
      <c r="AD22" s="253">
        <f>SUM(H22+O22+V22+AC22)</f>
        <v>0</v>
      </c>
    </row>
    <row r="23">
      <c r="A23" s="16" t="s">
        <v>119</v>
      </c>
      <c r="B23" s="55"/>
      <c r="C23" s="56"/>
      <c r="F23" s="55"/>
      <c r="G23" s="56"/>
      <c r="H23" s="45">
        <f>SUM(B23:G23)</f>
        <v>0</v>
      </c>
      <c r="I23" s="55"/>
      <c r="J23" s="56"/>
      <c r="M23" s="55"/>
      <c r="N23" s="56"/>
      <c r="O23" s="45">
        <f>SUM(I23:N23)</f>
        <v>0</v>
      </c>
      <c r="P23" s="55"/>
      <c r="Q23" s="56"/>
      <c r="T23" s="55"/>
      <c r="U23" s="56"/>
      <c r="V23" s="45">
        <f>SUM(P23:U23)</f>
        <v>0</v>
      </c>
      <c r="W23" s="55"/>
      <c r="X23" s="56"/>
      <c r="AA23" s="55"/>
      <c r="AB23" s="56"/>
      <c r="AC23" s="45">
        <f>SUM(W23:AB23)</f>
        <v>0</v>
      </c>
      <c r="AD23" s="253">
        <f>SUM(H23+O23+V23+AC23)</f>
        <v>0</v>
      </c>
    </row>
    <row r="24">
      <c r="A24" s="16" t="s">
        <v>119</v>
      </c>
      <c r="B24" s="55"/>
      <c r="C24" s="56"/>
      <c r="F24" s="55"/>
      <c r="G24" s="56"/>
      <c r="H24" s="45">
        <f>SUM(B24:G24)</f>
        <v>0</v>
      </c>
      <c r="I24" s="55"/>
      <c r="J24" s="56"/>
      <c r="M24" s="55"/>
      <c r="N24" s="56"/>
      <c r="O24" s="45">
        <f>SUM(I24:N24)</f>
        <v>0</v>
      </c>
      <c r="P24" s="55"/>
      <c r="Q24" s="56"/>
      <c r="T24" s="55"/>
      <c r="U24" s="56"/>
      <c r="V24" s="45">
        <f>SUM(P24:U24)</f>
        <v>0</v>
      </c>
      <c r="W24" s="55"/>
      <c r="X24" s="56"/>
      <c r="AA24" s="55"/>
      <c r="AB24" s="56"/>
      <c r="AC24" s="45">
        <f>SUM(W24:AB24)</f>
        <v>0</v>
      </c>
      <c r="AD24" s="253">
        <f>SUM(H24+O24+V24+AC24)</f>
        <v>0</v>
      </c>
    </row>
    <row r="25">
      <c r="A25" s="16" t="s">
        <v>119</v>
      </c>
      <c r="B25" s="55"/>
      <c r="C25" s="56"/>
      <c r="F25" s="55"/>
      <c r="G25" s="56"/>
      <c r="H25" s="45">
        <f>SUM(B25:G25)</f>
        <v>0</v>
      </c>
      <c r="I25" s="55"/>
      <c r="J25" s="56"/>
      <c r="M25" s="55"/>
      <c r="N25" s="56"/>
      <c r="O25" s="45">
        <f>SUM(I25:N25)</f>
        <v>0</v>
      </c>
      <c r="P25" s="55"/>
      <c r="Q25" s="56"/>
      <c r="T25" s="55"/>
      <c r="U25" s="56"/>
      <c r="V25" s="45">
        <f>SUM(P25:U25)</f>
        <v>0</v>
      </c>
      <c r="W25" s="55"/>
      <c r="X25" s="56"/>
      <c r="AA25" s="55"/>
      <c r="AB25" s="56"/>
      <c r="AC25" s="45">
        <f>SUM(W25:AB25)</f>
        <v>0</v>
      </c>
      <c r="AD25" s="253">
        <f>SUM(H25+O25+V25+AC25)</f>
        <v>0</v>
      </c>
    </row>
    <row r="26">
      <c r="A26" s="16" t="s">
        <v>119</v>
      </c>
      <c r="B26" s="55"/>
      <c r="C26" s="56"/>
      <c r="F26" s="55"/>
      <c r="G26" s="56"/>
      <c r="H26" s="45">
        <f>SUM(B26:G26)</f>
        <v>0</v>
      </c>
      <c r="I26" s="55"/>
      <c r="J26" s="56"/>
      <c r="M26" s="55"/>
      <c r="N26" s="56"/>
      <c r="O26" s="45">
        <f>SUM(I26:N26)</f>
        <v>0</v>
      </c>
      <c r="P26" s="55"/>
      <c r="Q26" s="56"/>
      <c r="T26" s="55"/>
      <c r="U26" s="56"/>
      <c r="V26" s="45">
        <f>SUM(P26:U26)</f>
        <v>0</v>
      </c>
      <c r="W26" s="55"/>
      <c r="X26" s="56"/>
      <c r="AA26" s="55"/>
      <c r="AB26" s="56"/>
      <c r="AC26" s="45">
        <f>SUM(W26:AB26)</f>
        <v>0</v>
      </c>
      <c r="AD26" s="253">
        <f>SUM(H26+O26+V26+AC26)</f>
        <v>0</v>
      </c>
    </row>
    <row r="27">
      <c r="A27" s="16" t="s">
        <v>119</v>
      </c>
      <c r="B27" s="55"/>
      <c r="C27" s="56"/>
      <c r="F27" s="55"/>
      <c r="G27" s="56"/>
      <c r="H27" s="45">
        <f>SUM(B27:G27)</f>
        <v>0</v>
      </c>
      <c r="I27" s="55"/>
      <c r="J27" s="56"/>
      <c r="M27" s="55"/>
      <c r="N27" s="56"/>
      <c r="O27" s="45">
        <f>SUM(I27:N27)</f>
        <v>0</v>
      </c>
      <c r="P27" s="55"/>
      <c r="Q27" s="56"/>
      <c r="T27" s="55"/>
      <c r="U27" s="56"/>
      <c r="V27" s="45">
        <f>SUM(P27:U27)</f>
        <v>0</v>
      </c>
      <c r="W27" s="55"/>
      <c r="X27" s="56"/>
      <c r="AA27" s="55"/>
      <c r="AB27" s="56"/>
      <c r="AC27" s="45">
        <f>SUM(W27:AB27)</f>
        <v>0</v>
      </c>
      <c r="AD27" s="253">
        <f>SUM(H27+O27+V27+AC27)</f>
        <v>0</v>
      </c>
    </row>
    <row r="28">
      <c r="A28" s="16" t="s">
        <v>119</v>
      </c>
      <c r="B28" s="55"/>
      <c r="C28" s="56"/>
      <c r="F28" s="55"/>
      <c r="G28" s="56"/>
      <c r="H28" s="45">
        <f>SUM(B28:G28)</f>
        <v>0</v>
      </c>
      <c r="I28" s="55"/>
      <c r="J28" s="56"/>
      <c r="M28" s="55"/>
      <c r="N28" s="56"/>
      <c r="O28" s="45">
        <f>SUM(I28:N28)</f>
        <v>0</v>
      </c>
      <c r="P28" s="55"/>
      <c r="Q28" s="56"/>
      <c r="T28" s="55"/>
      <c r="U28" s="56"/>
      <c r="V28" s="45">
        <f>SUM(P28:U28)</f>
        <v>0</v>
      </c>
      <c r="W28" s="55"/>
      <c r="X28" s="56"/>
      <c r="AA28" s="55"/>
      <c r="AB28" s="56"/>
      <c r="AC28" s="45">
        <f>SUM(W28:AB28)</f>
        <v>0</v>
      </c>
      <c r="AD28" s="253">
        <f>SUM(H28+O28+V28+AC28)</f>
        <v>0</v>
      </c>
    </row>
    <row r="29">
      <c r="A29" s="16" t="s">
        <v>119</v>
      </c>
      <c r="B29" s="55"/>
      <c r="C29" s="56"/>
      <c r="F29" s="55"/>
      <c r="G29" s="56"/>
      <c r="H29" s="45">
        <f>SUM(B29:G29)</f>
        <v>0</v>
      </c>
      <c r="I29" s="55"/>
      <c r="J29" s="56"/>
      <c r="M29" s="55"/>
      <c r="N29" s="56"/>
      <c r="O29" s="45">
        <f>SUM(I29:N29)</f>
        <v>0</v>
      </c>
      <c r="P29" s="55"/>
      <c r="Q29" s="56"/>
      <c r="T29" s="55"/>
      <c r="U29" s="56"/>
      <c r="V29" s="45">
        <f>SUM(P29:U29)</f>
        <v>0</v>
      </c>
      <c r="W29" s="55"/>
      <c r="X29" s="56"/>
      <c r="AA29" s="55"/>
      <c r="AB29" s="56"/>
      <c r="AC29" s="45">
        <f>SUM(W29:AB29)</f>
        <v>0</v>
      </c>
      <c r="AD29" s="253">
        <f>SUM(H29+O29+V29+AC29)</f>
        <v>0</v>
      </c>
    </row>
    <row r="30">
      <c r="A30" s="16" t="s">
        <v>119</v>
      </c>
      <c r="B30" s="55"/>
      <c r="C30" s="56"/>
      <c r="F30" s="55"/>
      <c r="G30" s="56"/>
      <c r="H30" s="45">
        <f>SUM(B30:G30)</f>
        <v>0</v>
      </c>
      <c r="I30" s="55"/>
      <c r="J30" s="56"/>
      <c r="M30" s="55"/>
      <c r="N30" s="56"/>
      <c r="O30" s="45">
        <f>SUM(I30:N30)</f>
        <v>0</v>
      </c>
      <c r="P30" s="55"/>
      <c r="Q30" s="56"/>
      <c r="T30" s="55"/>
      <c r="U30" s="56"/>
      <c r="V30" s="45">
        <f>SUM(P30:U30)</f>
        <v>0</v>
      </c>
      <c r="W30" s="55"/>
      <c r="X30" s="56"/>
      <c r="AA30" s="55"/>
      <c r="AB30" s="56"/>
      <c r="AC30" s="45">
        <f>SUM(W30:AB30)</f>
        <v>0</v>
      </c>
      <c r="AD30" s="253">
        <f>SUM(H30+O30+V30+AC30)</f>
        <v>0</v>
      </c>
    </row>
    <row r="31">
      <c r="A31" s="16" t="s">
        <v>119</v>
      </c>
      <c r="B31" s="55"/>
      <c r="C31" s="56"/>
      <c r="F31" s="55"/>
      <c r="G31" s="56"/>
      <c r="H31" s="45">
        <f>SUM(B31:G31)</f>
        <v>0</v>
      </c>
      <c r="I31" s="55"/>
      <c r="J31" s="56"/>
      <c r="M31" s="55"/>
      <c r="N31" s="56"/>
      <c r="O31" s="45">
        <f>SUM(I31:N31)</f>
        <v>0</v>
      </c>
      <c r="P31" s="55"/>
      <c r="Q31" s="56"/>
      <c r="T31" s="55"/>
      <c r="U31" s="56"/>
      <c r="V31" s="45">
        <f>SUM(P31:U31)</f>
        <v>0</v>
      </c>
      <c r="W31" s="55"/>
      <c r="X31" s="56"/>
      <c r="AA31" s="55"/>
      <c r="AB31" s="56"/>
      <c r="AC31" s="45">
        <f>SUM(W31:AB31)</f>
        <v>0</v>
      </c>
      <c r="AD31" s="253">
        <f>SUM(H31+O31+V31+AC31)</f>
        <v>0</v>
      </c>
    </row>
    <row r="32">
      <c r="A32" s="16" t="s">
        <v>119</v>
      </c>
      <c r="B32" s="55"/>
      <c r="C32" s="56"/>
      <c r="F32" s="55"/>
      <c r="G32" s="56"/>
      <c r="H32" s="45">
        <f>SUM(B32:G32)</f>
        <v>0</v>
      </c>
      <c r="I32" s="55"/>
      <c r="J32" s="56"/>
      <c r="M32" s="55"/>
      <c r="N32" s="56"/>
      <c r="O32" s="45">
        <f>SUM(I32:N32)</f>
        <v>0</v>
      </c>
      <c r="P32" s="55"/>
      <c r="Q32" s="56"/>
      <c r="T32" s="55"/>
      <c r="U32" s="56"/>
      <c r="V32" s="45">
        <f>SUM(P32:U32)</f>
        <v>0</v>
      </c>
      <c r="W32" s="55"/>
      <c r="X32" s="56"/>
      <c r="AA32" s="55"/>
      <c r="AB32" s="56"/>
      <c r="AC32" s="45">
        <f>SUM(W32:AB32)</f>
        <v>0</v>
      </c>
      <c r="AD32" s="253">
        <f>SUM(H32+O32+V32+AC32)</f>
        <v>0</v>
      </c>
    </row>
    <row r="33">
      <c r="A33" s="16" t="s">
        <v>119</v>
      </c>
      <c r="B33" s="55"/>
      <c r="C33" s="56"/>
      <c r="F33" s="55"/>
      <c r="G33" s="56"/>
      <c r="H33" s="45">
        <f>SUM(B33:G33)</f>
        <v>0</v>
      </c>
      <c r="I33" s="55"/>
      <c r="J33" s="56"/>
      <c r="M33" s="55"/>
      <c r="N33" s="56"/>
      <c r="O33" s="45">
        <f>SUM(I33:N33)</f>
        <v>0</v>
      </c>
      <c r="P33" s="55"/>
      <c r="Q33" s="56"/>
      <c r="T33" s="55"/>
      <c r="U33" s="56"/>
      <c r="V33" s="45">
        <f>SUM(P33:U33)</f>
        <v>0</v>
      </c>
      <c r="W33" s="55"/>
      <c r="X33" s="56"/>
      <c r="AA33" s="55"/>
      <c r="AB33" s="56"/>
      <c r="AC33" s="45">
        <f>SUM(W33:AB33)</f>
        <v>0</v>
      </c>
      <c r="AD33" s="253">
        <f>SUM(H33+O33+V33+AC33)</f>
        <v>0</v>
      </c>
    </row>
    <row r="34">
      <c r="A34" s="16" t="s">
        <v>119</v>
      </c>
      <c r="B34" s="55"/>
      <c r="C34" s="56"/>
      <c r="F34" s="55"/>
      <c r="G34" s="56"/>
      <c r="H34" s="45">
        <f>SUM(B34:G34)</f>
        <v>0</v>
      </c>
      <c r="I34" s="55"/>
      <c r="J34" s="56"/>
      <c r="M34" s="55"/>
      <c r="N34" s="56"/>
      <c r="O34" s="45">
        <f>SUM(I34:N34)</f>
        <v>0</v>
      </c>
      <c r="P34" s="55"/>
      <c r="Q34" s="56"/>
      <c r="T34" s="55"/>
      <c r="U34" s="56"/>
      <c r="V34" s="45">
        <f>SUM(P34:U34)</f>
        <v>0</v>
      </c>
      <c r="W34" s="55"/>
      <c r="X34" s="56"/>
      <c r="AA34" s="55"/>
      <c r="AB34" s="56"/>
      <c r="AC34" s="45">
        <f>SUM(W34:AB34)</f>
        <v>0</v>
      </c>
      <c r="AD34" s="253">
        <f>SUM(H34+O34+V34+AC34)</f>
        <v>0</v>
      </c>
    </row>
    <row r="35">
      <c r="A35" s="16" t="s">
        <v>119</v>
      </c>
      <c r="B35" s="55"/>
      <c r="C35" s="56"/>
      <c r="F35" s="55"/>
      <c r="G35" s="56"/>
      <c r="H35" s="45">
        <f>SUM(B35:G35)</f>
        <v>0</v>
      </c>
      <c r="I35" s="55"/>
      <c r="J35" s="56"/>
      <c r="M35" s="55"/>
      <c r="N35" s="56"/>
      <c r="O35" s="45">
        <f>SUM(I35:N35)</f>
        <v>0</v>
      </c>
      <c r="P35" s="55"/>
      <c r="Q35" s="56"/>
      <c r="T35" s="55"/>
      <c r="U35" s="56"/>
      <c r="V35" s="45">
        <f>SUM(P35:U35)</f>
        <v>0</v>
      </c>
      <c r="W35" s="55"/>
      <c r="X35" s="56"/>
      <c r="AA35" s="55"/>
      <c r="AB35" s="56"/>
      <c r="AC35" s="45">
        <f>SUM(W35:AB35)</f>
        <v>0</v>
      </c>
      <c r="AD35" s="253">
        <f>SUM(H35+O35+V35+AC35)</f>
        <v>0</v>
      </c>
    </row>
    <row r="36">
      <c r="A36" s="16" t="s">
        <v>119</v>
      </c>
      <c r="B36" s="55"/>
      <c r="C36" s="56"/>
      <c r="F36" s="55"/>
      <c r="G36" s="56"/>
      <c r="H36" s="45">
        <f>SUM(B36:G36)</f>
        <v>0</v>
      </c>
      <c r="I36" s="55"/>
      <c r="J36" s="56"/>
      <c r="M36" s="55"/>
      <c r="N36" s="56"/>
      <c r="O36" s="45">
        <f>SUM(I36:N36)</f>
        <v>0</v>
      </c>
      <c r="P36" s="55"/>
      <c r="Q36" s="56"/>
      <c r="T36" s="55"/>
      <c r="U36" s="56"/>
      <c r="V36" s="45">
        <f>SUM(P36:U36)</f>
        <v>0</v>
      </c>
      <c r="W36" s="55"/>
      <c r="X36" s="56"/>
      <c r="AA36" s="55"/>
      <c r="AB36" s="56"/>
      <c r="AC36" s="45">
        <f>SUM(W36:AB36)</f>
        <v>0</v>
      </c>
      <c r="AD36" s="253">
        <f>SUM(H36+O36+V36+AC36)</f>
        <v>0</v>
      </c>
    </row>
    <row r="37">
      <c r="A37" s="16" t="s">
        <v>119</v>
      </c>
      <c r="B37" s="55"/>
      <c r="C37" s="56"/>
      <c r="F37" s="55"/>
      <c r="G37" s="56"/>
      <c r="H37" s="45">
        <f>SUM(B37:G37)</f>
        <v>0</v>
      </c>
      <c r="I37" s="55"/>
      <c r="J37" s="56"/>
      <c r="M37" s="55"/>
      <c r="N37" s="56"/>
      <c r="O37" s="45">
        <f>SUM(I37:N37)</f>
        <v>0</v>
      </c>
      <c r="P37" s="55"/>
      <c r="Q37" s="56"/>
      <c r="T37" s="55"/>
      <c r="U37" s="56"/>
      <c r="V37" s="45">
        <f>SUM(P37:U37)</f>
        <v>0</v>
      </c>
      <c r="W37" s="55"/>
      <c r="X37" s="56"/>
      <c r="AA37" s="55"/>
      <c r="AB37" s="56"/>
      <c r="AC37" s="45">
        <f>SUM(W37:AB37)</f>
        <v>0</v>
      </c>
      <c r="AD37" s="253">
        <f>SUM(H37+O37+V37+AC37)</f>
        <v>0</v>
      </c>
    </row>
    <row r="38">
      <c r="A38" s="16" t="s">
        <v>119</v>
      </c>
      <c r="B38" s="55"/>
      <c r="C38" s="56"/>
      <c r="F38" s="55"/>
      <c r="G38" s="56"/>
      <c r="H38" s="45">
        <f>SUM(B38:G38)</f>
        <v>0</v>
      </c>
      <c r="I38" s="55"/>
      <c r="J38" s="56"/>
      <c r="M38" s="55"/>
      <c r="N38" s="56"/>
      <c r="O38" s="45">
        <f>SUM(I38:N38)</f>
        <v>0</v>
      </c>
      <c r="P38" s="55"/>
      <c r="Q38" s="56"/>
      <c r="T38" s="55"/>
      <c r="U38" s="56"/>
      <c r="V38" s="45">
        <f>SUM(P38:U38)</f>
        <v>0</v>
      </c>
      <c r="W38" s="55"/>
      <c r="X38" s="56"/>
      <c r="AA38" s="55"/>
      <c r="AB38" s="56"/>
      <c r="AC38" s="45">
        <f>SUM(W38:AB38)</f>
        <v>0</v>
      </c>
      <c r="AD38" s="253">
        <f>SUM(H38+O38+V38+AC38)</f>
        <v>0</v>
      </c>
    </row>
    <row r="39">
      <c r="A39" s="16" t="s">
        <v>119</v>
      </c>
      <c r="B39" s="55"/>
      <c r="C39" s="56"/>
      <c r="F39" s="55"/>
      <c r="G39" s="56"/>
      <c r="H39" s="45">
        <f>SUM(B39:G39)</f>
        <v>0</v>
      </c>
      <c r="I39" s="55"/>
      <c r="J39" s="56"/>
      <c r="M39" s="55"/>
      <c r="N39" s="56"/>
      <c r="O39" s="45">
        <f>SUM(I39:N39)</f>
        <v>0</v>
      </c>
      <c r="P39" s="55"/>
      <c r="Q39" s="56"/>
      <c r="T39" s="55"/>
      <c r="U39" s="56"/>
      <c r="V39" s="45">
        <f>SUM(P39:U39)</f>
        <v>0</v>
      </c>
      <c r="W39" s="55"/>
      <c r="X39" s="56"/>
      <c r="AA39" s="55"/>
      <c r="AB39" s="56"/>
      <c r="AC39" s="45">
        <f>SUM(W39:AB39)</f>
        <v>0</v>
      </c>
      <c r="AD39" s="253">
        <f>SUM(H39+O39+V39+AC39)</f>
        <v>0</v>
      </c>
    </row>
    <row r="40">
      <c r="A40" s="16" t="s">
        <v>119</v>
      </c>
      <c r="B40" s="55"/>
      <c r="C40" s="56"/>
      <c r="F40" s="55"/>
      <c r="G40" s="56"/>
      <c r="H40" s="45">
        <f>SUM(B40:G40)</f>
        <v>0</v>
      </c>
      <c r="I40" s="55"/>
      <c r="J40" s="56"/>
      <c r="M40" s="55"/>
      <c r="N40" s="56"/>
      <c r="O40" s="45">
        <f>SUM(I40:N40)</f>
        <v>0</v>
      </c>
      <c r="P40" s="55"/>
      <c r="Q40" s="56"/>
      <c r="T40" s="55"/>
      <c r="U40" s="56"/>
      <c r="V40" s="45">
        <f>SUM(P40:U40)</f>
        <v>0</v>
      </c>
      <c r="W40" s="55"/>
      <c r="X40" s="56"/>
      <c r="AA40" s="55"/>
      <c r="AB40" s="56"/>
      <c r="AC40" s="45">
        <f>SUM(W40:AB40)</f>
        <v>0</v>
      </c>
      <c r="AD40" s="253">
        <f>SUM(H40+O40+V40+AC40)</f>
        <v>0</v>
      </c>
    </row>
    <row r="41">
      <c r="A41" s="16" t="s">
        <v>119</v>
      </c>
      <c r="B41" s="55"/>
      <c r="C41" s="56"/>
      <c r="F41" s="55"/>
      <c r="G41" s="56"/>
      <c r="H41" s="45">
        <f>SUM(B41:G41)</f>
        <v>0</v>
      </c>
      <c r="I41" s="55"/>
      <c r="J41" s="56"/>
      <c r="M41" s="55"/>
      <c r="N41" s="56"/>
      <c r="O41" s="45">
        <f>SUM(I41:N41)</f>
        <v>0</v>
      </c>
      <c r="P41" s="55"/>
      <c r="Q41" s="56"/>
      <c r="T41" s="55"/>
      <c r="U41" s="56"/>
      <c r="V41" s="45">
        <f>SUM(P41:U41)</f>
        <v>0</v>
      </c>
      <c r="W41" s="55"/>
      <c r="X41" s="56"/>
      <c r="AA41" s="55"/>
      <c r="AB41" s="56"/>
      <c r="AC41" s="45">
        <f>SUM(W41:AB41)</f>
        <v>0</v>
      </c>
      <c r="AD41" s="253">
        <f>SUM(H41+O41+V41+AC41)</f>
        <v>0</v>
      </c>
    </row>
    <row r="42">
      <c r="A42" s="16" t="s">
        <v>119</v>
      </c>
      <c r="B42" s="55"/>
      <c r="C42" s="56"/>
      <c r="F42" s="55"/>
      <c r="G42" s="56"/>
      <c r="H42" s="45">
        <f>SUM(B42:G42)</f>
        <v>0</v>
      </c>
      <c r="I42" s="55"/>
      <c r="J42" s="56"/>
      <c r="M42" s="55"/>
      <c r="N42" s="56"/>
      <c r="O42" s="45">
        <f>SUM(I42:N42)</f>
        <v>0</v>
      </c>
      <c r="P42" s="55"/>
      <c r="Q42" s="56"/>
      <c r="T42" s="55"/>
      <c r="U42" s="56"/>
      <c r="V42" s="45">
        <f>SUM(P42:U42)</f>
        <v>0</v>
      </c>
      <c r="W42" s="55"/>
      <c r="X42" s="56"/>
      <c r="AA42" s="55"/>
      <c r="AB42" s="56"/>
      <c r="AC42" s="45">
        <f>SUM(W42:AB42)</f>
        <v>0</v>
      </c>
      <c r="AD42" s="253">
        <f>SUM(H42+O42+V42+AC42)</f>
        <v>0</v>
      </c>
    </row>
    <row r="43">
      <c r="A43" s="16" t="s">
        <v>119</v>
      </c>
      <c r="B43" s="55"/>
      <c r="C43" s="56"/>
      <c r="F43" s="55"/>
      <c r="G43" s="56"/>
      <c r="H43" s="45">
        <f>SUM(B43:G43)</f>
        <v>0</v>
      </c>
      <c r="I43" s="55"/>
      <c r="J43" s="56"/>
      <c r="M43" s="55"/>
      <c r="N43" s="56"/>
      <c r="O43" s="45">
        <f>SUM(I43:N43)</f>
        <v>0</v>
      </c>
      <c r="P43" s="55"/>
      <c r="Q43" s="56"/>
      <c r="T43" s="55"/>
      <c r="U43" s="56"/>
      <c r="V43" s="45">
        <f>SUM(P43:U43)</f>
        <v>0</v>
      </c>
      <c r="W43" s="55"/>
      <c r="X43" s="56"/>
      <c r="AA43" s="55"/>
      <c r="AB43" s="56"/>
      <c r="AC43" s="45">
        <f>SUM(W43:AB43)</f>
        <v>0</v>
      </c>
      <c r="AD43" s="253">
        <f>SUM(H43+O43+V43+AC43)</f>
        <v>0</v>
      </c>
    </row>
    <row r="44">
      <c r="A44" s="16" t="s">
        <v>119</v>
      </c>
      <c r="B44" s="55"/>
      <c r="C44" s="56"/>
      <c r="F44" s="55"/>
      <c r="G44" s="56"/>
      <c r="H44" s="45">
        <f>SUM(B44:G44)</f>
        <v>0</v>
      </c>
      <c r="I44" s="55"/>
      <c r="J44" s="56"/>
      <c r="M44" s="55"/>
      <c r="N44" s="56"/>
      <c r="O44" s="45">
        <f>SUM(I44:N44)</f>
        <v>0</v>
      </c>
      <c r="P44" s="55"/>
      <c r="Q44" s="56"/>
      <c r="T44" s="55"/>
      <c r="U44" s="56"/>
      <c r="V44" s="45">
        <f>SUM(P44:U44)</f>
        <v>0</v>
      </c>
      <c r="W44" s="55"/>
      <c r="X44" s="56"/>
      <c r="AA44" s="55"/>
      <c r="AB44" s="56"/>
      <c r="AC44" s="45">
        <f>SUM(W44:AB44)</f>
        <v>0</v>
      </c>
      <c r="AD44" s="253">
        <f>SUM(H44+O44+V44+AC44)</f>
        <v>0</v>
      </c>
    </row>
    <row r="45">
      <c r="A45" s="16" t="s">
        <v>119</v>
      </c>
      <c r="B45" s="55"/>
      <c r="C45" s="56"/>
      <c r="F45" s="55"/>
      <c r="G45" s="56"/>
      <c r="H45" s="45">
        <f>SUM(B45:G45)</f>
        <v>0</v>
      </c>
      <c r="I45" s="55"/>
      <c r="J45" s="56"/>
      <c r="M45" s="55"/>
      <c r="N45" s="56"/>
      <c r="O45" s="45">
        <f>SUM(I45:N45)</f>
        <v>0</v>
      </c>
      <c r="P45" s="55"/>
      <c r="Q45" s="56"/>
      <c r="T45" s="55"/>
      <c r="U45" s="56"/>
      <c r="V45" s="45">
        <f>SUM(P45:U45)</f>
        <v>0</v>
      </c>
      <c r="W45" s="55"/>
      <c r="X45" s="56"/>
      <c r="AA45" s="55"/>
      <c r="AB45" s="56"/>
      <c r="AC45" s="45">
        <f>SUM(W45:AB45)</f>
        <v>0</v>
      </c>
      <c r="AD45" s="253">
        <f>SUM(H45+O45+V45+AC45)</f>
        <v>0</v>
      </c>
    </row>
    <row r="46">
      <c r="A46" s="16" t="s">
        <v>119</v>
      </c>
      <c r="B46" s="55"/>
      <c r="C46" s="56"/>
      <c r="F46" s="55"/>
      <c r="G46" s="56"/>
      <c r="H46" s="45">
        <f>SUM(B46:G46)</f>
        <v>0</v>
      </c>
      <c r="I46" s="55"/>
      <c r="J46" s="56"/>
      <c r="M46" s="55"/>
      <c r="N46" s="56"/>
      <c r="O46" s="45">
        <f>SUM(I46:N46)</f>
        <v>0</v>
      </c>
      <c r="P46" s="55"/>
      <c r="Q46" s="56"/>
      <c r="T46" s="55"/>
      <c r="U46" s="56"/>
      <c r="V46" s="45">
        <f>SUM(P46:U46)</f>
        <v>0</v>
      </c>
      <c r="W46" s="55"/>
      <c r="X46" s="56"/>
      <c r="AA46" s="55"/>
      <c r="AB46" s="56"/>
      <c r="AC46" s="45">
        <f>SUM(W46:AB46)</f>
        <v>0</v>
      </c>
      <c r="AD46" s="253">
        <f>SUM(H46+O46+V46+AC46)</f>
        <v>0</v>
      </c>
    </row>
    <row r="47">
      <c r="A47" s="16" t="s">
        <v>119</v>
      </c>
      <c r="B47" s="55"/>
      <c r="C47" s="56"/>
      <c r="F47" s="55"/>
      <c r="G47" s="56"/>
      <c r="H47" s="45">
        <f>SUM(B47:G47)</f>
        <v>0</v>
      </c>
      <c r="I47" s="55"/>
      <c r="J47" s="56"/>
      <c r="M47" s="55"/>
      <c r="N47" s="56"/>
      <c r="O47" s="45">
        <f>SUM(I47:N47)</f>
        <v>0</v>
      </c>
      <c r="P47" s="55"/>
      <c r="Q47" s="56"/>
      <c r="T47" s="55"/>
      <c r="U47" s="56"/>
      <c r="V47" s="45">
        <f>SUM(P47:U47)</f>
        <v>0</v>
      </c>
      <c r="W47" s="55"/>
      <c r="X47" s="56"/>
      <c r="AA47" s="55"/>
      <c r="AB47" s="56"/>
      <c r="AC47" s="45">
        <f>SUM(W47:AB47)</f>
        <v>0</v>
      </c>
      <c r="AD47" s="253">
        <f>SUM(H47+O47+V47+AC47)</f>
        <v>0</v>
      </c>
    </row>
    <row r="48">
      <c r="A48" s="16" t="s">
        <v>119</v>
      </c>
      <c r="B48" s="55"/>
      <c r="C48" s="56"/>
      <c r="F48" s="55"/>
      <c r="G48" s="56"/>
      <c r="H48" s="45">
        <f>SUM(B48:G48)</f>
        <v>0</v>
      </c>
      <c r="I48" s="55"/>
      <c r="J48" s="56"/>
      <c r="M48" s="55"/>
      <c r="N48" s="56"/>
      <c r="O48" s="45">
        <f>SUM(I48:N48)</f>
        <v>0</v>
      </c>
      <c r="P48" s="55"/>
      <c r="Q48" s="56"/>
      <c r="T48" s="55"/>
      <c r="U48" s="56"/>
      <c r="V48" s="45">
        <f>SUM(P48:U48)</f>
        <v>0</v>
      </c>
      <c r="W48" s="55"/>
      <c r="X48" s="56"/>
      <c r="AA48" s="55"/>
      <c r="AB48" s="56"/>
      <c r="AC48" s="45">
        <f>SUM(W48:AB48)</f>
        <v>0</v>
      </c>
      <c r="AD48" s="253">
        <f>SUM(H48+O48+V48+AC48)</f>
        <v>0</v>
      </c>
    </row>
    <row r="49">
      <c r="A49" s="16" t="s">
        <v>119</v>
      </c>
      <c r="B49" s="55"/>
      <c r="C49" s="56"/>
      <c r="F49" s="55"/>
      <c r="G49" s="56"/>
      <c r="H49" s="45">
        <f>SUM(B49:G49)</f>
        <v>0</v>
      </c>
      <c r="I49" s="55"/>
      <c r="J49" s="56"/>
      <c r="M49" s="55"/>
      <c r="N49" s="56"/>
      <c r="O49" s="45">
        <f>SUM(I49:N49)</f>
        <v>0</v>
      </c>
      <c r="P49" s="55"/>
      <c r="Q49" s="56"/>
      <c r="T49" s="55"/>
      <c r="U49" s="56"/>
      <c r="V49" s="45">
        <f>SUM(P49:U49)</f>
        <v>0</v>
      </c>
      <c r="W49" s="55"/>
      <c r="X49" s="56"/>
      <c r="AA49" s="55"/>
      <c r="AB49" s="56"/>
      <c r="AC49" s="45">
        <f>SUM(W49:AB49)</f>
        <v>0</v>
      </c>
      <c r="AD49" s="253">
        <f>SUM(H49+O49+V49+AC49)</f>
        <v>0</v>
      </c>
    </row>
    <row r="50">
      <c r="A50" s="16" t="s">
        <v>119</v>
      </c>
      <c r="B50" s="55"/>
      <c r="C50" s="56"/>
      <c r="F50" s="55"/>
      <c r="G50" s="56"/>
      <c r="H50" s="45">
        <f>SUM(B50:G50)</f>
        <v>0</v>
      </c>
      <c r="I50" s="55"/>
      <c r="J50" s="56"/>
      <c r="M50" s="55"/>
      <c r="N50" s="56"/>
      <c r="O50" s="45">
        <f>SUM(I50:N50)</f>
        <v>0</v>
      </c>
      <c r="P50" s="55"/>
      <c r="Q50" s="56"/>
      <c r="T50" s="55"/>
      <c r="U50" s="56"/>
      <c r="V50" s="45">
        <f>SUM(P50:U50)</f>
        <v>0</v>
      </c>
      <c r="W50" s="55"/>
      <c r="X50" s="56"/>
      <c r="AA50" s="55"/>
      <c r="AB50" s="56"/>
      <c r="AC50" s="45">
        <f>SUM(W50:AB50)</f>
        <v>0</v>
      </c>
      <c r="AD50" s="253">
        <f>SUM(H50+O50+V50+AC50)</f>
        <v>0</v>
      </c>
    </row>
    <row r="51">
      <c r="A51" s="16" t="s">
        <v>119</v>
      </c>
      <c r="B51" s="55"/>
      <c r="C51" s="56"/>
      <c r="F51" s="55"/>
      <c r="G51" s="56"/>
      <c r="H51" s="45">
        <f>SUM(B51:G51)</f>
        <v>0</v>
      </c>
      <c r="I51" s="55"/>
      <c r="J51" s="56"/>
      <c r="M51" s="55"/>
      <c r="N51" s="56"/>
      <c r="O51" s="45">
        <f>SUM(I51:N51)</f>
        <v>0</v>
      </c>
      <c r="P51" s="55"/>
      <c r="Q51" s="56"/>
      <c r="T51" s="55"/>
      <c r="U51" s="56"/>
      <c r="V51" s="45">
        <f>SUM(P51:U51)</f>
        <v>0</v>
      </c>
      <c r="W51" s="55"/>
      <c r="X51" s="56"/>
      <c r="AA51" s="55"/>
      <c r="AB51" s="56"/>
      <c r="AC51" s="45">
        <f>SUM(W51:AB51)</f>
        <v>0</v>
      </c>
      <c r="AD51" s="253">
        <f>SUM(H51+O51+V51+AC51)</f>
        <v>0</v>
      </c>
    </row>
    <row r="52">
      <c r="A52" s="16" t="s">
        <v>119</v>
      </c>
      <c r="B52" s="55"/>
      <c r="C52" s="56"/>
      <c r="F52" s="55"/>
      <c r="G52" s="56"/>
      <c r="H52" s="45">
        <f>SUM(B52:G52)</f>
        <v>0</v>
      </c>
      <c r="I52" s="55"/>
      <c r="J52" s="56"/>
      <c r="M52" s="55"/>
      <c r="N52" s="56"/>
      <c r="O52" s="45">
        <f>SUM(I52:N52)</f>
        <v>0</v>
      </c>
      <c r="P52" s="55"/>
      <c r="Q52" s="56"/>
      <c r="T52" s="55"/>
      <c r="U52" s="56"/>
      <c r="V52" s="45">
        <f>SUM(P52:U52)</f>
        <v>0</v>
      </c>
      <c r="W52" s="55"/>
      <c r="X52" s="56"/>
      <c r="AA52" s="55"/>
      <c r="AB52" s="56"/>
      <c r="AC52" s="45">
        <f>SUM(W52:AB52)</f>
        <v>0</v>
      </c>
      <c r="AD52" s="253">
        <f>SUM(H52+O52+V52+AC52)</f>
        <v>0</v>
      </c>
    </row>
    <row r="53">
      <c r="A53" s="16" t="s">
        <v>119</v>
      </c>
      <c r="B53" s="55"/>
      <c r="C53" s="56"/>
      <c r="F53" s="55"/>
      <c r="G53" s="56"/>
      <c r="H53" s="45">
        <f>SUM(B53:G53)</f>
        <v>0</v>
      </c>
      <c r="I53" s="55"/>
      <c r="J53" s="56"/>
      <c r="M53" s="55"/>
      <c r="N53" s="56"/>
      <c r="O53" s="45">
        <f>SUM(I53:N53)</f>
        <v>0</v>
      </c>
      <c r="P53" s="55"/>
      <c r="Q53" s="56"/>
      <c r="T53" s="55"/>
      <c r="U53" s="56"/>
      <c r="V53" s="45">
        <f>SUM(P53:U53)</f>
        <v>0</v>
      </c>
      <c r="W53" s="55"/>
      <c r="X53" s="56"/>
      <c r="AA53" s="55"/>
      <c r="AB53" s="56"/>
      <c r="AC53" s="45">
        <f>SUM(W53:AB53)</f>
        <v>0</v>
      </c>
      <c r="AD53" s="253">
        <f>SUM(H53+O53+V53+AC53)</f>
        <v>0</v>
      </c>
    </row>
    <row r="54">
      <c r="A54" s="16" t="s">
        <v>119</v>
      </c>
      <c r="B54" s="55"/>
      <c r="C54" s="56"/>
      <c r="F54" s="55"/>
      <c r="G54" s="56"/>
      <c r="H54" s="45">
        <f>SUM(B54:G54)</f>
        <v>0</v>
      </c>
      <c r="I54" s="55"/>
      <c r="J54" s="56"/>
      <c r="M54" s="55"/>
      <c r="N54" s="56"/>
      <c r="O54" s="45">
        <f>SUM(I54:N54)</f>
        <v>0</v>
      </c>
      <c r="P54" s="55"/>
      <c r="Q54" s="56"/>
      <c r="T54" s="55"/>
      <c r="U54" s="56"/>
      <c r="V54" s="45">
        <f>SUM(P54:U54)</f>
        <v>0</v>
      </c>
      <c r="W54" s="55"/>
      <c r="X54" s="56"/>
      <c r="AA54" s="55"/>
      <c r="AB54" s="56"/>
      <c r="AC54" s="45">
        <f>SUM(W54:AB54)</f>
        <v>0</v>
      </c>
      <c r="AD54" s="253">
        <f>SUM(H54+O54+V54+AC54)</f>
        <v>0</v>
      </c>
    </row>
    <row r="55">
      <c r="A55" s="16" t="s">
        <v>119</v>
      </c>
      <c r="B55" s="55"/>
      <c r="C55" s="56"/>
      <c r="F55" s="55"/>
      <c r="G55" s="56"/>
      <c r="H55" s="45">
        <f>SUM(B55:G55)</f>
        <v>0</v>
      </c>
      <c r="I55" s="55"/>
      <c r="J55" s="56"/>
      <c r="M55" s="55"/>
      <c r="N55" s="56"/>
      <c r="O55" s="45">
        <f>SUM(I55:N55)</f>
        <v>0</v>
      </c>
      <c r="P55" s="55"/>
      <c r="Q55" s="56"/>
      <c r="T55" s="55"/>
      <c r="U55" s="56"/>
      <c r="V55" s="45">
        <f>SUM(P55:U55)</f>
        <v>0</v>
      </c>
      <c r="W55" s="55"/>
      <c r="X55" s="56"/>
      <c r="AA55" s="55"/>
      <c r="AB55" s="56"/>
      <c r="AC55" s="45">
        <f>SUM(W55:AB55)</f>
        <v>0</v>
      </c>
      <c r="AD55" s="253">
        <f>SUM(H55+O55+V55+AC55)</f>
        <v>0</v>
      </c>
    </row>
    <row r="56">
      <c r="A56" s="16" t="s">
        <v>119</v>
      </c>
      <c r="B56" s="55"/>
      <c r="C56" s="56"/>
      <c r="F56" s="55"/>
      <c r="G56" s="56"/>
      <c r="H56" s="45">
        <f>SUM(B56:G56)</f>
        <v>0</v>
      </c>
      <c r="I56" s="55"/>
      <c r="J56" s="56"/>
      <c r="M56" s="55"/>
      <c r="N56" s="56"/>
      <c r="O56" s="45">
        <f>SUM(I56:N56)</f>
        <v>0</v>
      </c>
      <c r="P56" s="55"/>
      <c r="Q56" s="56"/>
      <c r="T56" s="55"/>
      <c r="U56" s="56"/>
      <c r="V56" s="45">
        <f>SUM(P56:U56)</f>
        <v>0</v>
      </c>
      <c r="W56" s="55"/>
      <c r="X56" s="56"/>
      <c r="AA56" s="55"/>
      <c r="AB56" s="56"/>
      <c r="AC56" s="45">
        <f>SUM(W56:AB56)</f>
        <v>0</v>
      </c>
      <c r="AD56" s="253">
        <f>SUM(H56+O56+V56+AC56)</f>
        <v>0</v>
      </c>
    </row>
    <row r="57">
      <c r="A57" s="16" t="s">
        <v>119</v>
      </c>
      <c r="B57" s="55"/>
      <c r="C57" s="56"/>
      <c r="F57" s="55"/>
      <c r="G57" s="56"/>
      <c r="H57" s="45">
        <f>SUM(B57:G57)</f>
        <v>0</v>
      </c>
      <c r="I57" s="55"/>
      <c r="J57" s="56"/>
      <c r="M57" s="55"/>
      <c r="N57" s="56"/>
      <c r="O57" s="45">
        <f>SUM(I57:N57)</f>
        <v>0</v>
      </c>
      <c r="P57" s="55"/>
      <c r="Q57" s="56"/>
      <c r="T57" s="55"/>
      <c r="U57" s="56"/>
      <c r="V57" s="45">
        <f>SUM(P57:U57)</f>
        <v>0</v>
      </c>
      <c r="W57" s="55"/>
      <c r="X57" s="56"/>
      <c r="AA57" s="55"/>
      <c r="AB57" s="56"/>
      <c r="AC57" s="45">
        <f>SUM(W57:AB57)</f>
        <v>0</v>
      </c>
      <c r="AD57" s="253">
        <f>SUM(H57+O57+V57+AC57)</f>
        <v>0</v>
      </c>
    </row>
    <row r="58">
      <c r="A58" s="16" t="s">
        <v>119</v>
      </c>
      <c r="B58" s="55"/>
      <c r="C58" s="56"/>
      <c r="F58" s="55"/>
      <c r="G58" s="56"/>
      <c r="H58" s="45">
        <f>SUM(B58:G58)</f>
        <v>0</v>
      </c>
      <c r="I58" s="55"/>
      <c r="J58" s="56"/>
      <c r="M58" s="55"/>
      <c r="N58" s="56"/>
      <c r="O58" s="45">
        <f>SUM(I58:N58)</f>
        <v>0</v>
      </c>
      <c r="P58" s="55"/>
      <c r="Q58" s="56"/>
      <c r="T58" s="55"/>
      <c r="U58" s="56"/>
      <c r="V58" s="45">
        <f>SUM(P58:U58)</f>
        <v>0</v>
      </c>
      <c r="W58" s="55"/>
      <c r="X58" s="56"/>
      <c r="AA58" s="55"/>
      <c r="AB58" s="56"/>
      <c r="AC58" s="45">
        <f>SUM(W58:AB58)</f>
        <v>0</v>
      </c>
      <c r="AD58" s="253">
        <f>SUM(H58+O58+V58+AC58)</f>
        <v>0</v>
      </c>
    </row>
    <row r="59">
      <c r="A59" s="16" t="s">
        <v>119</v>
      </c>
      <c r="B59" s="55"/>
      <c r="C59" s="56"/>
      <c r="F59" s="55"/>
      <c r="G59" s="56"/>
      <c r="H59" s="45">
        <f>SUM(B59:G59)</f>
        <v>0</v>
      </c>
      <c r="I59" s="55"/>
      <c r="J59" s="56"/>
      <c r="M59" s="55"/>
      <c r="N59" s="56"/>
      <c r="O59" s="45">
        <f>SUM(I59:N59)</f>
        <v>0</v>
      </c>
      <c r="P59" s="55"/>
      <c r="Q59" s="56"/>
      <c r="T59" s="55"/>
      <c r="U59" s="56"/>
      <c r="V59" s="45">
        <f>SUM(P59:U59)</f>
        <v>0</v>
      </c>
      <c r="W59" s="55"/>
      <c r="X59" s="56"/>
      <c r="AA59" s="55"/>
      <c r="AB59" s="56"/>
      <c r="AC59" s="45">
        <f>SUM(W59:AB59)</f>
        <v>0</v>
      </c>
      <c r="AD59" s="253">
        <f>SUM(H59+O59+V59+AC59)</f>
        <v>0</v>
      </c>
    </row>
    <row r="60">
      <c r="A60" s="16" t="s">
        <v>119</v>
      </c>
      <c r="B60" s="55"/>
      <c r="C60" s="56"/>
      <c r="F60" s="55"/>
      <c r="G60" s="56"/>
      <c r="H60" s="45">
        <f>SUM(B60:G60)</f>
        <v>0</v>
      </c>
      <c r="I60" s="55"/>
      <c r="J60" s="56"/>
      <c r="M60" s="55"/>
      <c r="N60" s="56"/>
      <c r="O60" s="45">
        <f>SUM(I60:N60)</f>
        <v>0</v>
      </c>
      <c r="P60" s="55"/>
      <c r="Q60" s="56"/>
      <c r="T60" s="55"/>
      <c r="U60" s="56"/>
      <c r="V60" s="45">
        <f>SUM(P60:U60)</f>
        <v>0</v>
      </c>
      <c r="W60" s="55"/>
      <c r="X60" s="56"/>
      <c r="AA60" s="55"/>
      <c r="AB60" s="56"/>
      <c r="AC60" s="45">
        <f>SUM(W60:AB60)</f>
        <v>0</v>
      </c>
      <c r="AD60" s="253">
        <f>SUM(H60+O60+V60+AC60)</f>
        <v>0</v>
      </c>
    </row>
    <row r="61">
      <c r="A61" s="16" t="s">
        <v>119</v>
      </c>
      <c r="B61" s="55"/>
      <c r="C61" s="56"/>
      <c r="F61" s="55"/>
      <c r="G61" s="56"/>
      <c r="H61" s="45">
        <f>SUM(B61:G61)</f>
        <v>0</v>
      </c>
      <c r="I61" s="55"/>
      <c r="J61" s="56"/>
      <c r="M61" s="55"/>
      <c r="N61" s="56"/>
      <c r="O61" s="45">
        <f>SUM(I61:N61)</f>
        <v>0</v>
      </c>
      <c r="P61" s="55"/>
      <c r="Q61" s="56"/>
      <c r="T61" s="55"/>
      <c r="U61" s="56"/>
      <c r="V61" s="45">
        <f>SUM(P61:U61)</f>
        <v>0</v>
      </c>
      <c r="W61" s="55"/>
      <c r="X61" s="56"/>
      <c r="AA61" s="55"/>
      <c r="AB61" s="56"/>
      <c r="AC61" s="45">
        <f>SUM(W61:AB61)</f>
        <v>0</v>
      </c>
      <c r="AD61" s="253">
        <f>SUM(H61+O61+V61+AC61)</f>
        <v>0</v>
      </c>
    </row>
    <row r="62">
      <c r="A62" s="16" t="s">
        <v>119</v>
      </c>
      <c r="B62" s="55"/>
      <c r="C62" s="56"/>
      <c r="F62" s="55"/>
      <c r="G62" s="56"/>
      <c r="H62" s="45">
        <f>SUM(B62:G62)</f>
        <v>0</v>
      </c>
      <c r="I62" s="55"/>
      <c r="J62" s="56"/>
      <c r="M62" s="55"/>
      <c r="N62" s="56"/>
      <c r="O62" s="45">
        <f>SUM(I62:N62)</f>
        <v>0</v>
      </c>
      <c r="P62" s="55"/>
      <c r="Q62" s="56"/>
      <c r="T62" s="55"/>
      <c r="U62" s="56"/>
      <c r="V62" s="45">
        <f>SUM(P62:U62)</f>
        <v>0</v>
      </c>
      <c r="W62" s="55"/>
      <c r="X62" s="56"/>
      <c r="AA62" s="55"/>
      <c r="AB62" s="56"/>
      <c r="AC62" s="45">
        <f>SUM(W62:AB62)</f>
        <v>0</v>
      </c>
      <c r="AD62" s="253">
        <f>SUM(H62+O62+V62+AC62)</f>
        <v>0</v>
      </c>
    </row>
    <row r="63">
      <c r="A63" s="16" t="s">
        <v>119</v>
      </c>
      <c r="B63" s="55"/>
      <c r="C63" s="56"/>
      <c r="F63" s="55"/>
      <c r="G63" s="56"/>
      <c r="H63" s="45">
        <f>SUM(B63:G63)</f>
        <v>0</v>
      </c>
      <c r="I63" s="55"/>
      <c r="J63" s="56"/>
      <c r="M63" s="55"/>
      <c r="N63" s="56"/>
      <c r="O63" s="45">
        <f>SUM(I63:N63)</f>
        <v>0</v>
      </c>
      <c r="P63" s="55"/>
      <c r="Q63" s="56"/>
      <c r="T63" s="55"/>
      <c r="U63" s="56"/>
      <c r="V63" s="45">
        <f>SUM(P63:U63)</f>
        <v>0</v>
      </c>
      <c r="W63" s="55"/>
      <c r="X63" s="56"/>
      <c r="AA63" s="55"/>
      <c r="AB63" s="56"/>
      <c r="AC63" s="45">
        <f>SUM(W63:AB63)</f>
        <v>0</v>
      </c>
      <c r="AD63" s="253">
        <f>SUM(H63+O63+V63+AC63)</f>
        <v>0</v>
      </c>
    </row>
    <row r="64">
      <c r="A64" s="16" t="s">
        <v>119</v>
      </c>
      <c r="B64" s="55"/>
      <c r="C64" s="56"/>
      <c r="F64" s="55"/>
      <c r="G64" s="56"/>
      <c r="H64" s="45">
        <f>SUM(B64:G64)</f>
        <v>0</v>
      </c>
      <c r="I64" s="55"/>
      <c r="J64" s="56"/>
      <c r="M64" s="55"/>
      <c r="N64" s="56"/>
      <c r="O64" s="45">
        <f>SUM(I64:N64)</f>
        <v>0</v>
      </c>
      <c r="P64" s="55"/>
      <c r="Q64" s="56"/>
      <c r="T64" s="55"/>
      <c r="U64" s="56"/>
      <c r="V64" s="45">
        <f>SUM(P64:U64)</f>
        <v>0</v>
      </c>
      <c r="W64" s="55"/>
      <c r="X64" s="56"/>
      <c r="AA64" s="55"/>
      <c r="AB64" s="56"/>
      <c r="AC64" s="45">
        <f>SUM(W64:AB64)</f>
        <v>0</v>
      </c>
      <c r="AD64" s="253">
        <f>SUM(H64+O64+V64+AC64)</f>
        <v>0</v>
      </c>
    </row>
    <row r="65">
      <c r="A65" s="16" t="s">
        <v>119</v>
      </c>
      <c r="B65" s="55"/>
      <c r="C65" s="56"/>
      <c r="F65" s="55"/>
      <c r="G65" s="56"/>
      <c r="H65" s="45">
        <f>SUM(B65:G65)</f>
        <v>0</v>
      </c>
      <c r="I65" s="55"/>
      <c r="J65" s="56"/>
      <c r="M65" s="55"/>
      <c r="N65" s="56"/>
      <c r="O65" s="45">
        <f>SUM(I65:N65)</f>
        <v>0</v>
      </c>
      <c r="P65" s="55"/>
      <c r="Q65" s="56"/>
      <c r="T65" s="55"/>
      <c r="U65" s="56"/>
      <c r="V65" s="45">
        <f>SUM(P65:U65)</f>
        <v>0</v>
      </c>
      <c r="W65" s="55"/>
      <c r="X65" s="56"/>
      <c r="AA65" s="55"/>
      <c r="AB65" s="56"/>
      <c r="AC65" s="45">
        <f>SUM(W65:AB65)</f>
        <v>0</v>
      </c>
      <c r="AD65" s="253">
        <f>SUM(H65+O65+V65+AC65)</f>
        <v>0</v>
      </c>
    </row>
    <row r="66">
      <c r="A66" s="16" t="s">
        <v>119</v>
      </c>
      <c r="B66" s="55"/>
      <c r="C66" s="56"/>
      <c r="F66" s="55"/>
      <c r="G66" s="56"/>
      <c r="H66" s="45">
        <f>SUM(B66:G66)</f>
        <v>0</v>
      </c>
      <c r="I66" s="55"/>
      <c r="J66" s="56"/>
      <c r="M66" s="55"/>
      <c r="N66" s="56"/>
      <c r="O66" s="45">
        <f>SUM(I66:N66)</f>
        <v>0</v>
      </c>
      <c r="P66" s="55"/>
      <c r="Q66" s="56"/>
      <c r="T66" s="55"/>
      <c r="U66" s="56"/>
      <c r="V66" s="45">
        <f>SUM(P66:U66)</f>
        <v>0</v>
      </c>
      <c r="W66" s="55"/>
      <c r="X66" s="56"/>
      <c r="AA66" s="55"/>
      <c r="AB66" s="56"/>
      <c r="AC66" s="45">
        <f>SUM(W66:AB66)</f>
        <v>0</v>
      </c>
      <c r="AD66" s="253">
        <f>SUM(H66+O66+V66+AC66)</f>
        <v>0</v>
      </c>
    </row>
    <row r="67">
      <c r="A67" s="16" t="s">
        <v>119</v>
      </c>
      <c r="B67" s="55"/>
      <c r="C67" s="56"/>
      <c r="F67" s="55"/>
      <c r="G67" s="56"/>
      <c r="H67" s="45">
        <f>SUM(B67:G67)</f>
        <v>0</v>
      </c>
      <c r="I67" s="55"/>
      <c r="J67" s="56"/>
      <c r="M67" s="55"/>
      <c r="N67" s="56"/>
      <c r="O67" s="45">
        <f>SUM(I67:N67)</f>
        <v>0</v>
      </c>
      <c r="P67" s="55"/>
      <c r="Q67" s="56"/>
      <c r="T67" s="55"/>
      <c r="U67" s="56"/>
      <c r="V67" s="45">
        <f>SUM(P67:U67)</f>
        <v>0</v>
      </c>
      <c r="W67" s="55"/>
      <c r="X67" s="56"/>
      <c r="AA67" s="55"/>
      <c r="AB67" s="56"/>
      <c r="AC67" s="45">
        <f>SUM(W67:AB67)</f>
        <v>0</v>
      </c>
      <c r="AD67" s="253">
        <f>SUM(H67+O67+V67+AC67)</f>
        <v>0</v>
      </c>
    </row>
    <row r="68">
      <c r="A68" s="16" t="s">
        <v>119</v>
      </c>
      <c r="B68" s="55"/>
      <c r="C68" s="56"/>
      <c r="F68" s="55"/>
      <c r="G68" s="56"/>
      <c r="H68" s="45">
        <f>SUM(B68:G68)</f>
        <v>0</v>
      </c>
      <c r="I68" s="55"/>
      <c r="J68" s="56"/>
      <c r="M68" s="55"/>
      <c r="N68" s="56"/>
      <c r="O68" s="45">
        <f>SUM(I68:N68)</f>
        <v>0</v>
      </c>
      <c r="P68" s="55"/>
      <c r="Q68" s="56"/>
      <c r="T68" s="55"/>
      <c r="U68" s="56"/>
      <c r="V68" s="45">
        <f>SUM(P68:U68)</f>
        <v>0</v>
      </c>
      <c r="W68" s="55"/>
      <c r="X68" s="56"/>
      <c r="AA68" s="55"/>
      <c r="AB68" s="56"/>
      <c r="AC68" s="45">
        <f>SUM(W68:AB68)</f>
        <v>0</v>
      </c>
      <c r="AD68" s="253">
        <f>SUM(H68+O68+V68+AC68)</f>
        <v>0</v>
      </c>
    </row>
    <row r="69">
      <c r="A69" s="16" t="s">
        <v>119</v>
      </c>
      <c r="B69" s="55"/>
      <c r="C69" s="56"/>
      <c r="F69" s="55"/>
      <c r="G69" s="56"/>
      <c r="H69" s="45">
        <f>SUM(B69:G69)</f>
        <v>0</v>
      </c>
      <c r="I69" s="55"/>
      <c r="J69" s="56"/>
      <c r="M69" s="55"/>
      <c r="N69" s="56"/>
      <c r="O69" s="45">
        <f>SUM(I69:N69)</f>
        <v>0</v>
      </c>
      <c r="P69" s="55"/>
      <c r="Q69" s="56"/>
      <c r="T69" s="55"/>
      <c r="U69" s="56"/>
      <c r="V69" s="45">
        <f>SUM(P69:U69)</f>
        <v>0</v>
      </c>
      <c r="W69" s="55"/>
      <c r="X69" s="56"/>
      <c r="AA69" s="55"/>
      <c r="AB69" s="56"/>
      <c r="AC69" s="45">
        <f>SUM(W69:AB69)</f>
        <v>0</v>
      </c>
      <c r="AD69" s="253">
        <f>SUM(H69+O69+V69+AC69)</f>
        <v>0</v>
      </c>
    </row>
    <row r="70">
      <c r="A70" s="16" t="s">
        <v>119</v>
      </c>
      <c r="B70" s="55"/>
      <c r="C70" s="56"/>
      <c r="F70" s="55"/>
      <c r="G70" s="56"/>
      <c r="H70" s="45">
        <f>SUM(B70:G70)</f>
        <v>0</v>
      </c>
      <c r="I70" s="55"/>
      <c r="J70" s="56"/>
      <c r="M70" s="55"/>
      <c r="N70" s="56"/>
      <c r="O70" s="45">
        <f>SUM(I70:N70)</f>
        <v>0</v>
      </c>
      <c r="P70" s="55"/>
      <c r="Q70" s="56"/>
      <c r="T70" s="55"/>
      <c r="U70" s="56"/>
      <c r="V70" s="45">
        <f>SUM(P70:U70)</f>
        <v>0</v>
      </c>
      <c r="W70" s="55"/>
      <c r="X70" s="56"/>
      <c r="AA70" s="55"/>
      <c r="AB70" s="56"/>
      <c r="AC70" s="45">
        <f>SUM(W70:AB70)</f>
        <v>0</v>
      </c>
      <c r="AD70" s="253">
        <f>SUM(H70+O70+V70+AC70)</f>
        <v>0</v>
      </c>
    </row>
    <row r="71">
      <c r="A71" s="16" t="s">
        <v>119</v>
      </c>
      <c r="B71" s="55"/>
      <c r="C71" s="56"/>
      <c r="F71" s="55"/>
      <c r="G71" s="56"/>
      <c r="H71" s="45">
        <f>SUM(B71:G71)</f>
        <v>0</v>
      </c>
      <c r="I71" s="55"/>
      <c r="J71" s="56"/>
      <c r="M71" s="55"/>
      <c r="N71" s="56"/>
      <c r="O71" s="45">
        <f>SUM(I71:N71)</f>
        <v>0</v>
      </c>
      <c r="P71" s="55"/>
      <c r="Q71" s="56"/>
      <c r="T71" s="55"/>
      <c r="U71" s="56"/>
      <c r="V71" s="45">
        <f>SUM(P71:U71)</f>
        <v>0</v>
      </c>
      <c r="W71" s="55"/>
      <c r="X71" s="56"/>
      <c r="AA71" s="55"/>
      <c r="AB71" s="56"/>
      <c r="AC71" s="45">
        <f>SUM(W71:AB71)</f>
        <v>0</v>
      </c>
      <c r="AD71" s="253">
        <f>SUM(H71+O71+V71+AC71)</f>
        <v>0</v>
      </c>
    </row>
    <row r="72">
      <c r="A72" s="16" t="s">
        <v>119</v>
      </c>
      <c r="B72" s="55"/>
      <c r="C72" s="56"/>
      <c r="F72" s="55"/>
      <c r="G72" s="56"/>
      <c r="H72" s="45">
        <f>SUM(B72:G72)</f>
        <v>0</v>
      </c>
      <c r="I72" s="55"/>
      <c r="J72" s="56"/>
      <c r="M72" s="55"/>
      <c r="N72" s="56"/>
      <c r="O72" s="45">
        <f>SUM(I72:N72)</f>
        <v>0</v>
      </c>
      <c r="P72" s="55"/>
      <c r="Q72" s="56"/>
      <c r="T72" s="55"/>
      <c r="U72" s="56"/>
      <c r="V72" s="45">
        <f>SUM(P72:U72)</f>
        <v>0</v>
      </c>
      <c r="W72" s="55"/>
      <c r="X72" s="56"/>
      <c r="AA72" s="55"/>
      <c r="AB72" s="56"/>
      <c r="AC72" s="45">
        <f>SUM(W72:AB72)</f>
        <v>0</v>
      </c>
      <c r="AD72" s="253">
        <f>SUM(H72+O72+V72+AC72)</f>
        <v>0</v>
      </c>
    </row>
    <row r="73">
      <c r="A73" s="16" t="s">
        <v>119</v>
      </c>
      <c r="B73" s="55"/>
      <c r="C73" s="56"/>
      <c r="F73" s="55"/>
      <c r="G73" s="56"/>
      <c r="H73" s="45">
        <f>SUM(B73:G73)</f>
        <v>0</v>
      </c>
      <c r="I73" s="55"/>
      <c r="J73" s="56"/>
      <c r="M73" s="55"/>
      <c r="N73" s="56"/>
      <c r="O73" s="45">
        <f>SUM(I73:N73)</f>
        <v>0</v>
      </c>
      <c r="P73" s="55"/>
      <c r="Q73" s="56"/>
      <c r="T73" s="55"/>
      <c r="U73" s="56"/>
      <c r="V73" s="45">
        <f>SUM(P73:U73)</f>
        <v>0</v>
      </c>
      <c r="W73" s="55"/>
      <c r="X73" s="56"/>
      <c r="AA73" s="55"/>
      <c r="AB73" s="56"/>
      <c r="AC73" s="45">
        <f>SUM(W73:AB73)</f>
        <v>0</v>
      </c>
      <c r="AD73" s="253">
        <f>SUM(H73+O73+V73+AC73)</f>
        <v>0</v>
      </c>
    </row>
    <row r="74">
      <c r="A74" s="16" t="s">
        <v>119</v>
      </c>
      <c r="B74" s="55"/>
      <c r="C74" s="56"/>
      <c r="F74" s="55"/>
      <c r="G74" s="56"/>
      <c r="H74" s="45">
        <f>SUM(B74:G74)</f>
        <v>0</v>
      </c>
      <c r="I74" s="55"/>
      <c r="J74" s="56"/>
      <c r="M74" s="55"/>
      <c r="N74" s="56"/>
      <c r="O74" s="45">
        <f>SUM(I74:N74)</f>
        <v>0</v>
      </c>
      <c r="P74" s="55"/>
      <c r="Q74" s="56"/>
      <c r="T74" s="55"/>
      <c r="U74" s="56"/>
      <c r="V74" s="45">
        <f>SUM(P74:U74)</f>
        <v>0</v>
      </c>
      <c r="W74" s="55"/>
      <c r="X74" s="56"/>
      <c r="AA74" s="55"/>
      <c r="AB74" s="56"/>
      <c r="AC74" s="45">
        <f>SUM(W74:AB74)</f>
        <v>0</v>
      </c>
      <c r="AD74" s="253">
        <f>SUM(H74+O74+V74+AC74)</f>
        <v>0</v>
      </c>
    </row>
    <row r="75">
      <c r="A75" s="16" t="s">
        <v>119</v>
      </c>
      <c r="B75" s="55"/>
      <c r="C75" s="56"/>
      <c r="F75" s="55"/>
      <c r="G75" s="56"/>
      <c r="H75" s="45">
        <f>SUM(B75:G75)</f>
        <v>0</v>
      </c>
      <c r="I75" s="55"/>
      <c r="J75" s="56"/>
      <c r="M75" s="55"/>
      <c r="N75" s="56"/>
      <c r="O75" s="45">
        <f>SUM(I75:N75)</f>
        <v>0</v>
      </c>
      <c r="P75" s="55"/>
      <c r="Q75" s="56"/>
      <c r="T75" s="55"/>
      <c r="U75" s="56"/>
      <c r="V75" s="45">
        <f>SUM(P75:U75)</f>
        <v>0</v>
      </c>
      <c r="W75" s="55"/>
      <c r="X75" s="56"/>
      <c r="AA75" s="55"/>
      <c r="AB75" s="56"/>
      <c r="AC75" s="45">
        <f>SUM(W75:AB75)</f>
        <v>0</v>
      </c>
      <c r="AD75" s="253">
        <f>SUM(H75+O75+V75+AC75)</f>
        <v>0</v>
      </c>
    </row>
    <row r="76">
      <c r="A76" s="16" t="s">
        <v>119</v>
      </c>
      <c r="B76" s="55"/>
      <c r="C76" s="56"/>
      <c r="F76" s="55"/>
      <c r="G76" s="56"/>
      <c r="H76" s="45">
        <f>SUM(B76:G76)</f>
        <v>0</v>
      </c>
      <c r="I76" s="55"/>
      <c r="J76" s="56"/>
      <c r="M76" s="55"/>
      <c r="N76" s="56"/>
      <c r="O76" s="45">
        <f>SUM(I76:N76)</f>
        <v>0</v>
      </c>
      <c r="P76" s="55"/>
      <c r="Q76" s="56"/>
      <c r="T76" s="55"/>
      <c r="U76" s="56"/>
      <c r="V76" s="45">
        <f>SUM(P76:U76)</f>
        <v>0</v>
      </c>
      <c r="W76" s="55"/>
      <c r="X76" s="56"/>
      <c r="AA76" s="55"/>
      <c r="AB76" s="56"/>
      <c r="AC76" s="45">
        <f>SUM(W76:AB76)</f>
        <v>0</v>
      </c>
      <c r="AD76" s="253">
        <f>SUM(H76+O76+V76+AC76)</f>
        <v>0</v>
      </c>
    </row>
    <row r="77">
      <c r="A77" s="16" t="s">
        <v>119</v>
      </c>
      <c r="B77" s="55"/>
      <c r="C77" s="56"/>
      <c r="F77" s="55"/>
      <c r="G77" s="56"/>
      <c r="H77" s="45">
        <f>SUM(B77:G77)</f>
        <v>0</v>
      </c>
      <c r="I77" s="55"/>
      <c r="J77" s="56"/>
      <c r="M77" s="55"/>
      <c r="N77" s="56"/>
      <c r="O77" s="45">
        <f>SUM(I77:N77)</f>
        <v>0</v>
      </c>
      <c r="P77" s="55"/>
      <c r="Q77" s="56"/>
      <c r="T77" s="55"/>
      <c r="U77" s="56"/>
      <c r="V77" s="45">
        <f>SUM(P77:U77)</f>
        <v>0</v>
      </c>
      <c r="W77" s="55"/>
      <c r="X77" s="56"/>
      <c r="AA77" s="55"/>
      <c r="AB77" s="56"/>
      <c r="AC77" s="45">
        <f>SUM(W77:AB77)</f>
        <v>0</v>
      </c>
      <c r="AD77" s="253">
        <f>SUM(H77+O77+V77+AC77)</f>
        <v>0</v>
      </c>
    </row>
    <row r="78">
      <c r="A78" s="16" t="s">
        <v>119</v>
      </c>
      <c r="B78" s="55"/>
      <c r="C78" s="56"/>
      <c r="F78" s="55"/>
      <c r="G78" s="56"/>
      <c r="H78" s="45">
        <f>SUM(B78:G78)</f>
        <v>0</v>
      </c>
      <c r="I78" s="55"/>
      <c r="J78" s="56"/>
      <c r="M78" s="55"/>
      <c r="N78" s="56"/>
      <c r="O78" s="45">
        <f>SUM(I78:N78)</f>
        <v>0</v>
      </c>
      <c r="P78" s="55"/>
      <c r="Q78" s="56"/>
      <c r="T78" s="55"/>
      <c r="U78" s="56"/>
      <c r="V78" s="45">
        <f>SUM(P78:U78)</f>
        <v>0</v>
      </c>
      <c r="W78" s="55"/>
      <c r="X78" s="56"/>
      <c r="AA78" s="55"/>
      <c r="AB78" s="56"/>
      <c r="AC78" s="45">
        <f>SUM(W78:AB78)</f>
        <v>0</v>
      </c>
      <c r="AD78" s="253">
        <f>SUM(H78+O78+V78+AC78)</f>
        <v>0</v>
      </c>
    </row>
    <row r="79">
      <c r="A79" s="16" t="s">
        <v>119</v>
      </c>
      <c r="B79" s="55"/>
      <c r="C79" s="56"/>
      <c r="F79" s="55"/>
      <c r="G79" s="56"/>
      <c r="H79" s="45">
        <f>SUM(B79:G79)</f>
        <v>0</v>
      </c>
      <c r="I79" s="55"/>
      <c r="J79" s="56"/>
      <c r="M79" s="55"/>
      <c r="N79" s="56"/>
      <c r="O79" s="45">
        <f>SUM(I79:N79)</f>
        <v>0</v>
      </c>
      <c r="P79" s="55"/>
      <c r="Q79" s="56"/>
      <c r="T79" s="55"/>
      <c r="U79" s="56"/>
      <c r="V79" s="45">
        <f>SUM(P79:U79)</f>
        <v>0</v>
      </c>
      <c r="W79" s="55"/>
      <c r="X79" s="56"/>
      <c r="AA79" s="55"/>
      <c r="AB79" s="56"/>
      <c r="AC79" s="45">
        <f>SUM(W79:AB79)</f>
        <v>0</v>
      </c>
      <c r="AD79" s="253">
        <f>SUM(H79+O79+V79+AC79)</f>
        <v>0</v>
      </c>
    </row>
    <row r="80">
      <c r="A80" s="16" t="s">
        <v>119</v>
      </c>
      <c r="B80" s="55"/>
      <c r="C80" s="56"/>
      <c r="F80" s="55"/>
      <c r="G80" s="56"/>
      <c r="H80" s="45">
        <f>SUM(B80:G80)</f>
        <v>0</v>
      </c>
      <c r="I80" s="55"/>
      <c r="J80" s="56"/>
      <c r="M80" s="55"/>
      <c r="N80" s="56"/>
      <c r="O80" s="45">
        <f>SUM(I80:N80)</f>
        <v>0</v>
      </c>
      <c r="P80" s="55"/>
      <c r="Q80" s="56"/>
      <c r="T80" s="55"/>
      <c r="U80" s="56"/>
      <c r="V80" s="45">
        <f>SUM(P80:U80)</f>
        <v>0</v>
      </c>
      <c r="W80" s="55"/>
      <c r="X80" s="56"/>
      <c r="AA80" s="55"/>
      <c r="AB80" s="56"/>
      <c r="AC80" s="45">
        <f>SUM(W80:AB80)</f>
        <v>0</v>
      </c>
      <c r="AD80" s="253">
        <f>SUM(H80+O80+V80+AC80)</f>
        <v>0</v>
      </c>
    </row>
    <row r="81">
      <c r="A81" s="16" t="s">
        <v>119</v>
      </c>
      <c r="B81" s="55"/>
      <c r="C81" s="56"/>
      <c r="F81" s="55"/>
      <c r="G81" s="56"/>
      <c r="H81" s="45">
        <f>SUM(B81:G81)</f>
        <v>0</v>
      </c>
      <c r="I81" s="55"/>
      <c r="J81" s="56"/>
      <c r="M81" s="55"/>
      <c r="N81" s="56"/>
      <c r="O81" s="45">
        <f>SUM(I81:N81)</f>
        <v>0</v>
      </c>
      <c r="P81" s="55"/>
      <c r="Q81" s="56"/>
      <c r="T81" s="55"/>
      <c r="U81" s="56"/>
      <c r="V81" s="45">
        <f>SUM(P81:U81)</f>
        <v>0</v>
      </c>
      <c r="W81" s="55"/>
      <c r="X81" s="56"/>
      <c r="AA81" s="55"/>
      <c r="AB81" s="56"/>
      <c r="AC81" s="45">
        <f>SUM(W81:AB81)</f>
        <v>0</v>
      </c>
      <c r="AD81" s="253">
        <f>SUM(H81+O81+V81+AC81)</f>
        <v>0</v>
      </c>
    </row>
    <row r="82">
      <c r="A82" s="16" t="s">
        <v>119</v>
      </c>
      <c r="B82" s="55"/>
      <c r="C82" s="56"/>
      <c r="F82" s="55"/>
      <c r="G82" s="56"/>
      <c r="H82" s="45">
        <f>SUM(B82:G82)</f>
        <v>0</v>
      </c>
      <c r="I82" s="55"/>
      <c r="J82" s="56"/>
      <c r="M82" s="55"/>
      <c r="N82" s="56"/>
      <c r="O82" s="45">
        <f>SUM(I82:N82)</f>
        <v>0</v>
      </c>
      <c r="P82" s="55"/>
      <c r="Q82" s="56"/>
      <c r="T82" s="55"/>
      <c r="U82" s="56"/>
      <c r="V82" s="45">
        <f>SUM(P82:U82)</f>
        <v>0</v>
      </c>
      <c r="W82" s="55"/>
      <c r="X82" s="56"/>
      <c r="AA82" s="55"/>
      <c r="AB82" s="56"/>
      <c r="AC82" s="45">
        <f>SUM(W82:AB82)</f>
        <v>0</v>
      </c>
      <c r="AD82" s="253">
        <f>SUM(H82+O82+V82+AC82)</f>
        <v>0</v>
      </c>
    </row>
    <row r="83">
      <c r="A83" s="16" t="s">
        <v>119</v>
      </c>
      <c r="B83" s="55"/>
      <c r="C83" s="56"/>
      <c r="F83" s="55"/>
      <c r="G83" s="56"/>
      <c r="H83" s="45">
        <f>SUM(B83:G83)</f>
        <v>0</v>
      </c>
      <c r="I83" s="55"/>
      <c r="J83" s="56"/>
      <c r="M83" s="55"/>
      <c r="N83" s="56"/>
      <c r="O83" s="45">
        <f>SUM(I83:N83)</f>
        <v>0</v>
      </c>
      <c r="P83" s="55"/>
      <c r="Q83" s="56"/>
      <c r="T83" s="55"/>
      <c r="U83" s="56"/>
      <c r="V83" s="45">
        <f>SUM(P83:U83)</f>
        <v>0</v>
      </c>
      <c r="W83" s="55"/>
      <c r="X83" s="56"/>
      <c r="AA83" s="55"/>
      <c r="AB83" s="56"/>
      <c r="AC83" s="45">
        <f>SUM(W83:AB83)</f>
        <v>0</v>
      </c>
      <c r="AD83" s="253">
        <f>SUM(H83+O83+V83+AC83)</f>
        <v>0</v>
      </c>
    </row>
    <row r="84">
      <c r="A84" s="16" t="s">
        <v>119</v>
      </c>
      <c r="B84" s="55"/>
      <c r="C84" s="56"/>
      <c r="F84" s="55"/>
      <c r="G84" s="56"/>
      <c r="H84" s="45">
        <f>SUM(B84:G84)</f>
        <v>0</v>
      </c>
      <c r="I84" s="55"/>
      <c r="J84" s="56"/>
      <c r="M84" s="55"/>
      <c r="N84" s="56"/>
      <c r="O84" s="45">
        <f>SUM(I84:N84)</f>
        <v>0</v>
      </c>
      <c r="P84" s="55"/>
      <c r="Q84" s="56"/>
      <c r="T84" s="55"/>
      <c r="U84" s="56"/>
      <c r="V84" s="45">
        <f>SUM(P84:U84)</f>
        <v>0</v>
      </c>
      <c r="W84" s="55"/>
      <c r="X84" s="56"/>
      <c r="AA84" s="55"/>
      <c r="AB84" s="56"/>
      <c r="AC84" s="45">
        <f>SUM(W84:AB84)</f>
        <v>0</v>
      </c>
      <c r="AD84" s="253">
        <f>SUM(H84+O84+V84+AC84)</f>
        <v>0</v>
      </c>
    </row>
    <row r="85">
      <c r="A85" s="16" t="s">
        <v>119</v>
      </c>
      <c r="B85" s="55"/>
      <c r="C85" s="56"/>
      <c r="F85" s="55"/>
      <c r="G85" s="56"/>
      <c r="H85" s="45">
        <f>SUM(B85:G85)</f>
        <v>0</v>
      </c>
      <c r="I85" s="55"/>
      <c r="J85" s="56"/>
      <c r="M85" s="55"/>
      <c r="N85" s="56"/>
      <c r="O85" s="45">
        <f>SUM(I85:N85)</f>
        <v>0</v>
      </c>
      <c r="P85" s="55"/>
      <c r="Q85" s="56"/>
      <c r="T85" s="55"/>
      <c r="U85" s="56"/>
      <c r="V85" s="45">
        <f>SUM(P85:U85)</f>
        <v>0</v>
      </c>
      <c r="W85" s="55"/>
      <c r="X85" s="56"/>
      <c r="AA85" s="55"/>
      <c r="AB85" s="56"/>
      <c r="AC85" s="45">
        <f>SUM(W85:AB85)</f>
        <v>0</v>
      </c>
      <c r="AD85" s="253">
        <f>SUM(H85+O85+V85+AC85)</f>
        <v>0</v>
      </c>
    </row>
    <row r="86">
      <c r="A86" s="16" t="s">
        <v>119</v>
      </c>
      <c r="B86" s="55"/>
      <c r="C86" s="56"/>
      <c r="F86" s="55"/>
      <c r="G86" s="56"/>
      <c r="H86" s="45">
        <f>SUM(B86:G86)</f>
        <v>0</v>
      </c>
      <c r="I86" s="55"/>
      <c r="J86" s="56"/>
      <c r="M86" s="55"/>
      <c r="N86" s="56"/>
      <c r="O86" s="45">
        <f>SUM(I86:N86)</f>
        <v>0</v>
      </c>
      <c r="P86" s="55"/>
      <c r="Q86" s="56"/>
      <c r="T86" s="55"/>
      <c r="U86" s="56"/>
      <c r="V86" s="45">
        <f>SUM(P86:U86)</f>
        <v>0</v>
      </c>
      <c r="W86" s="55"/>
      <c r="X86" s="56"/>
      <c r="AA86" s="55"/>
      <c r="AB86" s="56"/>
      <c r="AC86" s="45">
        <f>SUM(W86:AB86)</f>
        <v>0</v>
      </c>
      <c r="AD86" s="253">
        <f>SUM(H86+O86+V86+AC86)</f>
        <v>0</v>
      </c>
    </row>
    <row r="87">
      <c r="A87" s="16" t="s">
        <v>119</v>
      </c>
      <c r="B87" s="55"/>
      <c r="C87" s="56"/>
      <c r="F87" s="55"/>
      <c r="G87" s="56"/>
      <c r="H87" s="45">
        <f>SUM(B87:G87)</f>
        <v>0</v>
      </c>
      <c r="I87" s="55"/>
      <c r="J87" s="56"/>
      <c r="M87" s="55"/>
      <c r="N87" s="56"/>
      <c r="O87" s="45">
        <f>SUM(I87:N87)</f>
        <v>0</v>
      </c>
      <c r="P87" s="55"/>
      <c r="Q87" s="56"/>
      <c r="T87" s="55"/>
      <c r="U87" s="56"/>
      <c r="V87" s="45">
        <f>SUM(P87:U87)</f>
        <v>0</v>
      </c>
      <c r="W87" s="55"/>
      <c r="X87" s="56"/>
      <c r="AA87" s="55"/>
      <c r="AB87" s="56"/>
      <c r="AC87" s="45">
        <f>SUM(W87:AB87)</f>
        <v>0</v>
      </c>
      <c r="AD87" s="253">
        <f>SUM(H87+O87+V87+AC87)</f>
        <v>0</v>
      </c>
    </row>
    <row r="88">
      <c r="A88" s="16" t="s">
        <v>119</v>
      </c>
      <c r="B88" s="55"/>
      <c r="C88" s="56"/>
      <c r="F88" s="55"/>
      <c r="G88" s="56"/>
      <c r="H88" s="45">
        <f>SUM(B88:G88)</f>
        <v>0</v>
      </c>
      <c r="I88" s="55"/>
      <c r="J88" s="56"/>
      <c r="M88" s="55"/>
      <c r="N88" s="56"/>
      <c r="O88" s="45">
        <f>SUM(I88:N88)</f>
        <v>0</v>
      </c>
      <c r="P88" s="55"/>
      <c r="Q88" s="56"/>
      <c r="T88" s="55"/>
      <c r="U88" s="56"/>
      <c r="V88" s="45">
        <f>SUM(P88:U88)</f>
        <v>0</v>
      </c>
      <c r="W88" s="55"/>
      <c r="X88" s="56"/>
      <c r="AA88" s="55"/>
      <c r="AB88" s="56"/>
      <c r="AC88" s="45">
        <f>SUM(W88:AB88)</f>
        <v>0</v>
      </c>
      <c r="AD88" s="253">
        <f>SUM(H88+O88+V88+AC88)</f>
        <v>0</v>
      </c>
    </row>
    <row r="89">
      <c r="A89" s="16" t="s">
        <v>119</v>
      </c>
      <c r="B89" s="55"/>
      <c r="C89" s="56"/>
      <c r="F89" s="55"/>
      <c r="G89" s="56"/>
      <c r="H89" s="45">
        <f>SUM(B89:G89)</f>
        <v>0</v>
      </c>
      <c r="I89" s="55"/>
      <c r="J89" s="56"/>
      <c r="M89" s="55"/>
      <c r="N89" s="56"/>
      <c r="O89" s="45">
        <f>SUM(I89:N89)</f>
        <v>0</v>
      </c>
      <c r="P89" s="55"/>
      <c r="Q89" s="56"/>
      <c r="T89" s="55"/>
      <c r="U89" s="56"/>
      <c r="V89" s="45">
        <f>SUM(P89:U89)</f>
        <v>0</v>
      </c>
      <c r="W89" s="55"/>
      <c r="X89" s="56"/>
      <c r="AA89" s="55"/>
      <c r="AB89" s="56"/>
      <c r="AC89" s="45">
        <f>SUM(W89:AB89)</f>
        <v>0</v>
      </c>
      <c r="AD89" s="253">
        <f>SUM(H89+O89+V89+AC89)</f>
        <v>0</v>
      </c>
    </row>
    <row r="90">
      <c r="A90" s="16" t="s">
        <v>119</v>
      </c>
      <c r="B90" s="55"/>
      <c r="C90" s="56"/>
      <c r="F90" s="55"/>
      <c r="G90" s="56"/>
      <c r="H90" s="45">
        <f>SUM(B90:G90)</f>
        <v>0</v>
      </c>
      <c r="I90" s="55"/>
      <c r="J90" s="56"/>
      <c r="M90" s="55"/>
      <c r="N90" s="56"/>
      <c r="O90" s="45">
        <f>SUM(I90:N90)</f>
        <v>0</v>
      </c>
      <c r="P90" s="55"/>
      <c r="Q90" s="56"/>
      <c r="T90" s="55"/>
      <c r="U90" s="56"/>
      <c r="V90" s="45">
        <f>SUM(P90:U90)</f>
        <v>0</v>
      </c>
      <c r="W90" s="55"/>
      <c r="X90" s="56"/>
      <c r="AA90" s="55"/>
      <c r="AB90" s="56"/>
      <c r="AC90" s="45">
        <f>SUM(W90:AB90)</f>
        <v>0</v>
      </c>
      <c r="AD90" s="253">
        <f>SUM(H90+O90+V90+AC90)</f>
        <v>0</v>
      </c>
    </row>
    <row r="91">
      <c r="A91" s="16" t="s">
        <v>119</v>
      </c>
      <c r="B91" s="55"/>
      <c r="C91" s="56"/>
      <c r="F91" s="55"/>
      <c r="G91" s="56"/>
      <c r="H91" s="45">
        <f>SUM(B91:G91)</f>
        <v>0</v>
      </c>
      <c r="I91" s="55"/>
      <c r="J91" s="56"/>
      <c r="M91" s="55"/>
      <c r="N91" s="56"/>
      <c r="O91" s="45">
        <f>SUM(I91:N91)</f>
        <v>0</v>
      </c>
      <c r="P91" s="55"/>
      <c r="Q91" s="56"/>
      <c r="T91" s="55"/>
      <c r="U91" s="56"/>
      <c r="V91" s="45">
        <f>SUM(P91:U91)</f>
        <v>0</v>
      </c>
      <c r="W91" s="55"/>
      <c r="X91" s="56"/>
      <c r="AA91" s="55"/>
      <c r="AB91" s="56"/>
      <c r="AC91" s="45">
        <f>SUM(W91:AB91)</f>
        <v>0</v>
      </c>
      <c r="AD91" s="253">
        <f>SUM(H91+O91+V91+AC91)</f>
        <v>0</v>
      </c>
    </row>
    <row r="92">
      <c r="A92" s="16" t="s">
        <v>119</v>
      </c>
      <c r="B92" s="55"/>
      <c r="C92" s="56"/>
      <c r="F92" s="55"/>
      <c r="G92" s="56"/>
      <c r="H92" s="45">
        <f>SUM(B92:G92)</f>
        <v>0</v>
      </c>
      <c r="I92" s="55"/>
      <c r="J92" s="56"/>
      <c r="M92" s="55"/>
      <c r="N92" s="56"/>
      <c r="O92" s="45">
        <f>SUM(I92:N92)</f>
        <v>0</v>
      </c>
      <c r="P92" s="55"/>
      <c r="Q92" s="56"/>
      <c r="T92" s="55"/>
      <c r="U92" s="56"/>
      <c r="V92" s="45">
        <f>SUM(P92:U92)</f>
        <v>0</v>
      </c>
      <c r="W92" s="55"/>
      <c r="X92" s="56"/>
      <c r="AA92" s="55"/>
      <c r="AB92" s="56"/>
      <c r="AC92" s="45">
        <f>SUM(W92:AB92)</f>
        <v>0</v>
      </c>
      <c r="AD92" s="253">
        <f>SUM(H92+O92+V92+AC92)</f>
        <v>0</v>
      </c>
    </row>
    <row r="93">
      <c r="A93" s="16" t="s">
        <v>119</v>
      </c>
      <c r="B93" s="55"/>
      <c r="C93" s="56"/>
      <c r="F93" s="55"/>
      <c r="G93" s="56"/>
      <c r="H93" s="45">
        <f>SUM(B93:G93)</f>
        <v>0</v>
      </c>
      <c r="I93" s="55"/>
      <c r="J93" s="56"/>
      <c r="M93" s="55"/>
      <c r="N93" s="56"/>
      <c r="O93" s="45">
        <f>SUM(I93:N93)</f>
        <v>0</v>
      </c>
      <c r="P93" s="55"/>
      <c r="Q93" s="56"/>
      <c r="T93" s="55"/>
      <c r="U93" s="56"/>
      <c r="V93" s="45">
        <f>SUM(P93:U93)</f>
        <v>0</v>
      </c>
      <c r="W93" s="55"/>
      <c r="X93" s="56"/>
      <c r="AA93" s="55"/>
      <c r="AB93" s="56"/>
      <c r="AC93" s="45">
        <f>SUM(W93:AB93)</f>
        <v>0</v>
      </c>
      <c r="AD93" s="253">
        <f>SUM(H93+O93+V93+AC93)</f>
        <v>0</v>
      </c>
    </row>
    <row r="94">
      <c r="A94" s="16" t="s">
        <v>119</v>
      </c>
      <c r="B94" s="55"/>
      <c r="C94" s="56"/>
      <c r="F94" s="55"/>
      <c r="G94" s="56"/>
      <c r="H94" s="45">
        <f>SUM(B94:G94)</f>
        <v>0</v>
      </c>
      <c r="I94" s="55"/>
      <c r="J94" s="56"/>
      <c r="M94" s="55"/>
      <c r="N94" s="56"/>
      <c r="O94" s="45">
        <f>SUM(I94:N94)</f>
        <v>0</v>
      </c>
      <c r="P94" s="55"/>
      <c r="Q94" s="56"/>
      <c r="T94" s="55"/>
      <c r="U94" s="56"/>
      <c r="V94" s="45">
        <f>SUM(P94:U94)</f>
        <v>0</v>
      </c>
      <c r="W94" s="55"/>
      <c r="X94" s="56"/>
      <c r="AA94" s="55"/>
      <c r="AB94" s="56"/>
      <c r="AC94" s="45">
        <f>SUM(W94:AB94)</f>
        <v>0</v>
      </c>
      <c r="AD94" s="253">
        <f>SUM(H94+O94+V94+AC94)</f>
        <v>0</v>
      </c>
    </row>
    <row r="95">
      <c r="A95" s="16" t="s">
        <v>119</v>
      </c>
      <c r="B95" s="55"/>
      <c r="C95" s="56"/>
      <c r="F95" s="55"/>
      <c r="G95" s="56"/>
      <c r="H95" s="45">
        <f>SUM(B95:G95)</f>
        <v>0</v>
      </c>
      <c r="I95" s="55"/>
      <c r="J95" s="56"/>
      <c r="M95" s="55"/>
      <c r="N95" s="56"/>
      <c r="O95" s="45">
        <f>SUM(I95:N95)</f>
        <v>0</v>
      </c>
      <c r="P95" s="55"/>
      <c r="Q95" s="56"/>
      <c r="T95" s="55"/>
      <c r="U95" s="56"/>
      <c r="V95" s="45">
        <f>SUM(P95:U95)</f>
        <v>0</v>
      </c>
      <c r="W95" s="55"/>
      <c r="X95" s="56"/>
      <c r="AA95" s="55"/>
      <c r="AB95" s="56"/>
      <c r="AC95" s="45">
        <f>SUM(W95:AB95)</f>
        <v>0</v>
      </c>
      <c r="AD95" s="253">
        <f>SUM(H95+O95+V95+AC95)</f>
        <v>0</v>
      </c>
    </row>
    <row r="96">
      <c r="A96" s="16" t="s">
        <v>119</v>
      </c>
      <c r="B96" s="55"/>
      <c r="C96" s="56"/>
      <c r="F96" s="55"/>
      <c r="G96" s="56"/>
      <c r="H96" s="45">
        <f>SUM(B96:G96)</f>
        <v>0</v>
      </c>
      <c r="I96" s="55"/>
      <c r="J96" s="56"/>
      <c r="M96" s="55"/>
      <c r="N96" s="56"/>
      <c r="O96" s="45">
        <f>SUM(I96:N96)</f>
        <v>0</v>
      </c>
      <c r="P96" s="55"/>
      <c r="Q96" s="56"/>
      <c r="T96" s="55"/>
      <c r="U96" s="56"/>
      <c r="V96" s="45">
        <f>SUM(P96:U96)</f>
        <v>0</v>
      </c>
      <c r="W96" s="55"/>
      <c r="X96" s="56"/>
      <c r="AA96" s="55"/>
      <c r="AB96" s="56"/>
      <c r="AC96" s="45">
        <f>SUM(W96:AB96)</f>
        <v>0</v>
      </c>
      <c r="AD96" s="253">
        <f>SUM(H96+O96+V96+AC96)</f>
        <v>0</v>
      </c>
    </row>
    <row r="97">
      <c r="A97" s="16" t="s">
        <v>119</v>
      </c>
      <c r="B97" s="55"/>
      <c r="C97" s="56"/>
      <c r="F97" s="55"/>
      <c r="G97" s="56"/>
      <c r="H97" s="45">
        <f>SUM(B97:G97)</f>
        <v>0</v>
      </c>
      <c r="I97" s="55"/>
      <c r="J97" s="56"/>
      <c r="M97" s="55"/>
      <c r="N97" s="56"/>
      <c r="O97" s="45">
        <f>SUM(I97:N97)</f>
        <v>0</v>
      </c>
      <c r="P97" s="55"/>
      <c r="Q97" s="56"/>
      <c r="T97" s="55"/>
      <c r="U97" s="56"/>
      <c r="V97" s="45">
        <f>SUM(P97:U97)</f>
        <v>0</v>
      </c>
      <c r="W97" s="55"/>
      <c r="X97" s="56"/>
      <c r="AA97" s="55"/>
      <c r="AB97" s="56"/>
      <c r="AC97" s="45">
        <f>SUM(W97:AB97)</f>
        <v>0</v>
      </c>
      <c r="AD97" s="253">
        <f>SUM(H97+O97+V97+AC97)</f>
        <v>0</v>
      </c>
    </row>
    <row r="98">
      <c r="A98" s="16" t="s">
        <v>119</v>
      </c>
      <c r="B98" s="55"/>
      <c r="C98" s="56"/>
      <c r="F98" s="55"/>
      <c r="G98" s="56"/>
      <c r="H98" s="45">
        <f>SUM(B98:G98)</f>
        <v>0</v>
      </c>
      <c r="I98" s="55"/>
      <c r="J98" s="56"/>
      <c r="M98" s="55"/>
      <c r="N98" s="56"/>
      <c r="O98" s="45">
        <f>SUM(I98:N98)</f>
        <v>0</v>
      </c>
      <c r="P98" s="55"/>
      <c r="Q98" s="56"/>
      <c r="T98" s="55"/>
      <c r="U98" s="56"/>
      <c r="V98" s="45">
        <f>SUM(P98:U98)</f>
        <v>0</v>
      </c>
      <c r="W98" s="55"/>
      <c r="X98" s="56"/>
      <c r="AA98" s="55"/>
      <c r="AB98" s="56"/>
      <c r="AC98" s="45">
        <f>SUM(W98:AB98)</f>
        <v>0</v>
      </c>
      <c r="AD98" s="253">
        <f>SUM(H98+O98+V98+AC98)</f>
        <v>0</v>
      </c>
    </row>
    <row r="99">
      <c r="A99" s="16" t="s">
        <v>119</v>
      </c>
      <c r="B99" s="55"/>
      <c r="C99" s="56"/>
      <c r="F99" s="55"/>
      <c r="G99" s="56"/>
      <c r="H99" s="45">
        <f>SUM(B99:G99)</f>
        <v>0</v>
      </c>
      <c r="I99" s="55"/>
      <c r="J99" s="56"/>
      <c r="M99" s="55"/>
      <c r="N99" s="56"/>
      <c r="O99" s="45">
        <f>SUM(I99:N99)</f>
        <v>0</v>
      </c>
      <c r="P99" s="55"/>
      <c r="Q99" s="56"/>
      <c r="T99" s="55"/>
      <c r="U99" s="56"/>
      <c r="V99" s="45">
        <f>SUM(P99:U99)</f>
        <v>0</v>
      </c>
      <c r="W99" s="55"/>
      <c r="X99" s="56"/>
      <c r="AA99" s="55"/>
      <c r="AB99" s="56"/>
      <c r="AC99" s="45">
        <f>SUM(W99:AB99)</f>
        <v>0</v>
      </c>
      <c r="AD99" s="253">
        <f>SUM(H99+O99+V99+AC99)</f>
        <v>0</v>
      </c>
    </row>
    <row r="100">
      <c r="A100" s="16" t="s">
        <v>119</v>
      </c>
      <c r="B100" s="55"/>
      <c r="C100" s="56"/>
      <c r="F100" s="55"/>
      <c r="G100" s="56"/>
      <c r="H100" s="45">
        <f>SUM(B100:G100)</f>
        <v>0</v>
      </c>
      <c r="I100" s="55"/>
      <c r="J100" s="56"/>
      <c r="M100" s="55"/>
      <c r="N100" s="56"/>
      <c r="O100" s="45">
        <f>SUM(I100:N100)</f>
        <v>0</v>
      </c>
      <c r="P100" s="55"/>
      <c r="Q100" s="56"/>
      <c r="T100" s="55"/>
      <c r="U100" s="56"/>
      <c r="V100" s="45">
        <f>SUM(P100:U100)</f>
        <v>0</v>
      </c>
      <c r="W100" s="55"/>
      <c r="X100" s="56"/>
      <c r="AA100" s="55"/>
      <c r="AB100" s="56"/>
      <c r="AC100" s="45">
        <f>SUM(W100:AB100)</f>
        <v>0</v>
      </c>
      <c r="AD100" s="253">
        <f>SUM(H100+O100+V100+AC100)</f>
        <v>0</v>
      </c>
    </row>
    <row r="101">
      <c r="A101" s="16" t="s">
        <v>119</v>
      </c>
      <c r="B101" s="55"/>
      <c r="C101" s="56"/>
      <c r="F101" s="55"/>
      <c r="G101" s="56"/>
      <c r="H101" s="45">
        <f>SUM(B101:G101)</f>
        <v>0</v>
      </c>
      <c r="I101" s="55"/>
      <c r="J101" s="56"/>
      <c r="M101" s="55"/>
      <c r="N101" s="56"/>
      <c r="O101" s="45">
        <f>SUM(I101:N101)</f>
        <v>0</v>
      </c>
      <c r="P101" s="55"/>
      <c r="Q101" s="56"/>
      <c r="T101" s="55"/>
      <c r="U101" s="56"/>
      <c r="V101" s="45">
        <f>SUM(P101:U101)</f>
        <v>0</v>
      </c>
      <c r="W101" s="55"/>
      <c r="X101" s="56"/>
      <c r="AA101" s="55"/>
      <c r="AB101" s="56"/>
      <c r="AC101" s="45">
        <f>SUM(W101:AB101)</f>
        <v>0</v>
      </c>
      <c r="AD101" s="253">
        <f>SUM(H101+O101+V101+AC101)</f>
        <v>0</v>
      </c>
    </row>
    <row r="102">
      <c r="A102" s="16" t="s">
        <v>119</v>
      </c>
      <c r="B102" s="55"/>
      <c r="C102" s="56"/>
      <c r="F102" s="55"/>
      <c r="G102" s="56"/>
      <c r="H102" s="45">
        <f>SUM(B102:G102)</f>
        <v>0</v>
      </c>
      <c r="I102" s="55"/>
      <c r="J102" s="56"/>
      <c r="M102" s="55"/>
      <c r="N102" s="56"/>
      <c r="O102" s="45">
        <f>SUM(I102:N102)</f>
        <v>0</v>
      </c>
      <c r="P102" s="55"/>
      <c r="Q102" s="56"/>
      <c r="T102" s="55"/>
      <c r="U102" s="56"/>
      <c r="V102" s="45">
        <f>SUM(P102:U102)</f>
        <v>0</v>
      </c>
      <c r="W102" s="55"/>
      <c r="X102" s="56"/>
      <c r="AA102" s="55"/>
      <c r="AB102" s="56"/>
      <c r="AC102" s="45">
        <f>SUM(W102:AB102)</f>
        <v>0</v>
      </c>
      <c r="AD102" s="253">
        <f>SUM(H102+O102+V102+AC102)</f>
        <v>0</v>
      </c>
    </row>
    <row r="103">
      <c r="A103" s="16" t="s">
        <v>119</v>
      </c>
      <c r="B103" s="55"/>
      <c r="C103" s="56"/>
      <c r="F103" s="55"/>
      <c r="G103" s="56"/>
      <c r="H103" s="45">
        <f>SUM(B103:G103)</f>
        <v>0</v>
      </c>
      <c r="I103" s="55"/>
      <c r="J103" s="56"/>
      <c r="M103" s="55"/>
      <c r="N103" s="56"/>
      <c r="O103" s="45">
        <f>SUM(I103:N103)</f>
        <v>0</v>
      </c>
      <c r="P103" s="55"/>
      <c r="Q103" s="56"/>
      <c r="T103" s="55"/>
      <c r="U103" s="56"/>
      <c r="V103" s="45">
        <f>SUM(P103:U103)</f>
        <v>0</v>
      </c>
      <c r="W103" s="55"/>
      <c r="X103" s="56"/>
      <c r="AA103" s="55"/>
      <c r="AB103" s="56"/>
      <c r="AC103" s="45">
        <f>SUM(W103:AB103)</f>
        <v>0</v>
      </c>
      <c r="AD103" s="253">
        <f>SUM(H103+O103+V103+AC103)</f>
        <v>0</v>
      </c>
    </row>
    <row r="104">
      <c r="A104" s="16" t="s">
        <v>119</v>
      </c>
      <c r="B104" s="55"/>
      <c r="C104" s="56"/>
      <c r="F104" s="55"/>
      <c r="G104" s="56"/>
      <c r="H104" s="45">
        <f>SUM(B104:G104)</f>
        <v>0</v>
      </c>
      <c r="I104" s="55"/>
      <c r="J104" s="56"/>
      <c r="M104" s="55"/>
      <c r="N104" s="56"/>
      <c r="O104" s="45">
        <f>SUM(I104:N104)</f>
        <v>0</v>
      </c>
      <c r="P104" s="55"/>
      <c r="Q104" s="56"/>
      <c r="T104" s="55"/>
      <c r="U104" s="56"/>
      <c r="V104" s="45">
        <f>SUM(P104:U104)</f>
        <v>0</v>
      </c>
      <c r="W104" s="55"/>
      <c r="X104" s="56"/>
      <c r="AA104" s="55"/>
      <c r="AB104" s="56"/>
      <c r="AC104" s="45">
        <f>SUM(W104:AB104)</f>
        <v>0</v>
      </c>
      <c r="AD104" s="253">
        <f>SUM(H104+O104+V104+AC104)</f>
        <v>0</v>
      </c>
    </row>
    <row r="105">
      <c r="A105" s="16" t="s">
        <v>119</v>
      </c>
      <c r="B105" s="55"/>
      <c r="C105" s="56"/>
      <c r="F105" s="55"/>
      <c r="G105" s="56"/>
      <c r="H105" s="45">
        <f>SUM(B105:G105)</f>
        <v>0</v>
      </c>
      <c r="I105" s="55"/>
      <c r="J105" s="56"/>
      <c r="M105" s="55"/>
      <c r="N105" s="56"/>
      <c r="O105" s="45">
        <f>SUM(I105:N105)</f>
        <v>0</v>
      </c>
      <c r="P105" s="55"/>
      <c r="Q105" s="56"/>
      <c r="T105" s="55"/>
      <c r="U105" s="56"/>
      <c r="V105" s="45">
        <f>SUM(P105:U105)</f>
        <v>0</v>
      </c>
      <c r="W105" s="55"/>
      <c r="X105" s="56"/>
      <c r="AA105" s="55"/>
      <c r="AB105" s="56"/>
      <c r="AC105" s="45">
        <f>SUM(W105:AB105)</f>
        <v>0</v>
      </c>
      <c r="AD105" s="253">
        <f>SUM(H105+O105+V105+AC105)</f>
        <v>0</v>
      </c>
    </row>
    <row r="106">
      <c r="A106" s="16" t="s">
        <v>119</v>
      </c>
      <c r="B106" s="55"/>
      <c r="C106" s="56"/>
      <c r="F106" s="55"/>
      <c r="G106" s="56"/>
      <c r="H106" s="45">
        <f>SUM(B106:G106)</f>
        <v>0</v>
      </c>
      <c r="I106" s="55"/>
      <c r="J106" s="56"/>
      <c r="M106" s="55"/>
      <c r="N106" s="56"/>
      <c r="O106" s="45">
        <f>SUM(I106:N106)</f>
        <v>0</v>
      </c>
      <c r="P106" s="55"/>
      <c r="Q106" s="56"/>
      <c r="T106" s="55"/>
      <c r="U106" s="56"/>
      <c r="V106" s="45">
        <f>SUM(P106:U106)</f>
        <v>0</v>
      </c>
      <c r="W106" s="55"/>
      <c r="X106" s="56"/>
      <c r="AA106" s="55"/>
      <c r="AB106" s="56"/>
      <c r="AC106" s="45">
        <f>SUM(W106:AB106)</f>
        <v>0</v>
      </c>
      <c r="AD106" s="253">
        <f>SUM(H106+O106+V106+AC106)</f>
        <v>0</v>
      </c>
    </row>
    <row r="107">
      <c r="A107" s="16" t="s">
        <v>119</v>
      </c>
      <c r="B107" s="55"/>
      <c r="C107" s="56"/>
      <c r="F107" s="55"/>
      <c r="G107" s="56"/>
      <c r="H107" s="45">
        <f>SUM(B107:G107)</f>
        <v>0</v>
      </c>
      <c r="I107" s="55"/>
      <c r="J107" s="56"/>
      <c r="M107" s="55"/>
      <c r="N107" s="56"/>
      <c r="O107" s="45">
        <f>SUM(I107:N107)</f>
        <v>0</v>
      </c>
      <c r="P107" s="55"/>
      <c r="Q107" s="56"/>
      <c r="T107" s="55"/>
      <c r="U107" s="56"/>
      <c r="V107" s="45">
        <f>SUM(P107:U107)</f>
        <v>0</v>
      </c>
      <c r="W107" s="55"/>
      <c r="X107" s="56"/>
      <c r="AA107" s="55"/>
      <c r="AB107" s="56"/>
      <c r="AC107" s="45">
        <f>SUM(W107:AB107)</f>
        <v>0</v>
      </c>
      <c r="AD107" s="253">
        <f>SUM(H107+O107+V107+AC107)</f>
        <v>0</v>
      </c>
    </row>
    <row r="108">
      <c r="A108" s="16" t="s">
        <v>119</v>
      </c>
      <c r="B108" s="55"/>
      <c r="C108" s="56"/>
      <c r="F108" s="55"/>
      <c r="G108" s="56"/>
      <c r="H108" s="45">
        <f>SUM(B108:G108)</f>
        <v>0</v>
      </c>
      <c r="I108" s="55"/>
      <c r="J108" s="56"/>
      <c r="M108" s="55"/>
      <c r="N108" s="56"/>
      <c r="O108" s="45">
        <f>SUM(I108:N108)</f>
        <v>0</v>
      </c>
      <c r="P108" s="55"/>
      <c r="Q108" s="56"/>
      <c r="T108" s="55"/>
      <c r="U108" s="56"/>
      <c r="V108" s="45">
        <f>SUM(P108:U108)</f>
        <v>0</v>
      </c>
      <c r="W108" s="55"/>
      <c r="X108" s="56"/>
      <c r="AA108" s="55"/>
      <c r="AB108" s="56"/>
      <c r="AC108" s="45">
        <f>SUM(W108:AB108)</f>
        <v>0</v>
      </c>
      <c r="AD108" s="253">
        <f>SUM(H108+O108+V108+AC108)</f>
        <v>0</v>
      </c>
    </row>
    <row r="109">
      <c r="A109" s="16" t="s">
        <v>119</v>
      </c>
      <c r="B109" s="55"/>
      <c r="C109" s="56"/>
      <c r="F109" s="55"/>
      <c r="G109" s="56"/>
      <c r="H109" s="45">
        <f>SUM(B109:G109)</f>
        <v>0</v>
      </c>
      <c r="I109" s="55"/>
      <c r="J109" s="56"/>
      <c r="M109" s="55"/>
      <c r="N109" s="56"/>
      <c r="O109" s="45">
        <f>SUM(I109:N109)</f>
        <v>0</v>
      </c>
      <c r="P109" s="55"/>
      <c r="Q109" s="56"/>
      <c r="T109" s="55"/>
      <c r="U109" s="56"/>
      <c r="V109" s="45">
        <f>SUM(P109:U109)</f>
        <v>0</v>
      </c>
      <c r="W109" s="55"/>
      <c r="X109" s="56"/>
      <c r="AA109" s="55"/>
      <c r="AB109" s="56"/>
      <c r="AC109" s="45">
        <f>SUM(W109:AB109)</f>
        <v>0</v>
      </c>
      <c r="AD109" s="253">
        <f>SUM(H109+O109+V109+AC109)</f>
        <v>0</v>
      </c>
    </row>
    <row r="110">
      <c r="A110" s="16" t="s">
        <v>119</v>
      </c>
      <c r="B110" s="55"/>
      <c r="C110" s="56"/>
      <c r="F110" s="55"/>
      <c r="G110" s="56"/>
      <c r="H110" s="45">
        <f>SUM(B110:G110)</f>
        <v>0</v>
      </c>
      <c r="I110" s="55"/>
      <c r="J110" s="56"/>
      <c r="M110" s="55"/>
      <c r="N110" s="56"/>
      <c r="O110" s="45">
        <f>SUM(I110:N110)</f>
        <v>0</v>
      </c>
      <c r="P110" s="55"/>
      <c r="Q110" s="56"/>
      <c r="T110" s="55"/>
      <c r="U110" s="56"/>
      <c r="V110" s="45">
        <f>SUM(P110:U110)</f>
        <v>0</v>
      </c>
      <c r="W110" s="55"/>
      <c r="X110" s="56"/>
      <c r="AA110" s="55"/>
      <c r="AB110" s="56"/>
      <c r="AC110" s="45">
        <f>SUM(W110:AB110)</f>
        <v>0</v>
      </c>
      <c r="AD110" s="253">
        <f>SUM(H110+O110+V110+AC110)</f>
        <v>0</v>
      </c>
    </row>
    <row r="111">
      <c r="A111" s="16" t="s">
        <v>119</v>
      </c>
      <c r="B111" s="55"/>
      <c r="C111" s="56"/>
      <c r="F111" s="55"/>
      <c r="G111" s="56"/>
      <c r="H111" s="45">
        <f>SUM(B111:G111)</f>
        <v>0</v>
      </c>
      <c r="I111" s="55"/>
      <c r="J111" s="56"/>
      <c r="M111" s="55"/>
      <c r="N111" s="56"/>
      <c r="O111" s="45">
        <f>SUM(I111:N111)</f>
        <v>0</v>
      </c>
      <c r="P111" s="55"/>
      <c r="Q111" s="56"/>
      <c r="T111" s="55"/>
      <c r="U111" s="56"/>
      <c r="V111" s="45">
        <f>SUM(P111:U111)</f>
        <v>0</v>
      </c>
      <c r="W111" s="55"/>
      <c r="X111" s="56"/>
      <c r="AA111" s="55"/>
      <c r="AB111" s="56"/>
      <c r="AC111" s="45">
        <f>SUM(W111:AB111)</f>
        <v>0</v>
      </c>
      <c r="AD111" s="253">
        <f>SUM(H111+O111+V111+AC111)</f>
        <v>0</v>
      </c>
    </row>
    <row r="112">
      <c r="A112" s="16" t="s">
        <v>119</v>
      </c>
      <c r="B112" s="55"/>
      <c r="C112" s="56"/>
      <c r="F112" s="55"/>
      <c r="G112" s="56"/>
      <c r="H112" s="45">
        <f>SUM(B112:G112)</f>
        <v>0</v>
      </c>
      <c r="I112" s="55"/>
      <c r="J112" s="56"/>
      <c r="M112" s="55"/>
      <c r="N112" s="56"/>
      <c r="O112" s="45">
        <f>SUM(I112:N112)</f>
        <v>0</v>
      </c>
      <c r="P112" s="55"/>
      <c r="Q112" s="56"/>
      <c r="T112" s="55"/>
      <c r="U112" s="56"/>
      <c r="V112" s="45">
        <f>SUM(P112:U112)</f>
        <v>0</v>
      </c>
      <c r="W112" s="55"/>
      <c r="X112" s="56"/>
      <c r="AA112" s="55"/>
      <c r="AB112" s="56"/>
      <c r="AC112" s="45">
        <f>SUM(W112:AB112)</f>
        <v>0</v>
      </c>
      <c r="AD112" s="253">
        <f>SUM(H112+O112+V112+AC112)</f>
        <v>0</v>
      </c>
    </row>
    <row r="113">
      <c r="A113" s="16" t="s">
        <v>119</v>
      </c>
      <c r="B113" s="55"/>
      <c r="C113" s="56"/>
      <c r="F113" s="55"/>
      <c r="G113" s="56"/>
      <c r="H113" s="45">
        <f>SUM(B113:G113)</f>
        <v>0</v>
      </c>
      <c r="I113" s="55"/>
      <c r="J113" s="56"/>
      <c r="M113" s="55"/>
      <c r="N113" s="56"/>
      <c r="O113" s="45">
        <f>SUM(I113:N113)</f>
        <v>0</v>
      </c>
      <c r="P113" s="55"/>
      <c r="Q113" s="56"/>
      <c r="T113" s="55"/>
      <c r="U113" s="56"/>
      <c r="V113" s="45">
        <f>SUM(P113:U113)</f>
        <v>0</v>
      </c>
      <c r="W113" s="55"/>
      <c r="X113" s="56"/>
      <c r="AA113" s="55"/>
      <c r="AB113" s="56"/>
      <c r="AC113" s="45">
        <f>SUM(W113:AB113)</f>
        <v>0</v>
      </c>
      <c r="AD113" s="253">
        <f>SUM(H113+O113+V113+AC113)</f>
        <v>0</v>
      </c>
    </row>
    <row r="114">
      <c r="A114" s="16" t="s">
        <v>119</v>
      </c>
      <c r="B114" s="55"/>
      <c r="C114" s="56"/>
      <c r="F114" s="55"/>
      <c r="G114" s="56"/>
      <c r="H114" s="45">
        <f>SUM(B114:G114)</f>
        <v>0</v>
      </c>
      <c r="I114" s="55"/>
      <c r="J114" s="56"/>
      <c r="M114" s="55"/>
      <c r="N114" s="56"/>
      <c r="O114" s="45">
        <f>SUM(I114:N114)</f>
        <v>0</v>
      </c>
      <c r="P114" s="55"/>
      <c r="Q114" s="56"/>
      <c r="T114" s="55"/>
      <c r="U114" s="56"/>
      <c r="V114" s="45">
        <f>SUM(P114:U114)</f>
        <v>0</v>
      </c>
      <c r="W114" s="55"/>
      <c r="X114" s="56"/>
      <c r="AA114" s="55"/>
      <c r="AB114" s="56"/>
      <c r="AC114" s="45">
        <f>SUM(W114:AB114)</f>
        <v>0</v>
      </c>
      <c r="AD114" s="253">
        <f>SUM(H114+O114+V114+AC114)</f>
        <v>0</v>
      </c>
    </row>
    <row r="115">
      <c r="A115" s="16" t="s">
        <v>119</v>
      </c>
      <c r="B115" s="55"/>
      <c r="C115" s="56"/>
      <c r="F115" s="55"/>
      <c r="G115" s="56"/>
      <c r="H115" s="45">
        <f>SUM(B115:G115)</f>
        <v>0</v>
      </c>
      <c r="I115" s="55"/>
      <c r="J115" s="56"/>
      <c r="M115" s="55"/>
      <c r="N115" s="56"/>
      <c r="O115" s="45">
        <f>SUM(I115:N115)</f>
        <v>0</v>
      </c>
      <c r="P115" s="55"/>
      <c r="Q115" s="56"/>
      <c r="T115" s="55"/>
      <c r="U115" s="56"/>
      <c r="V115" s="45">
        <f>SUM(P115:U115)</f>
        <v>0</v>
      </c>
      <c r="W115" s="55"/>
      <c r="X115" s="56"/>
      <c r="AA115" s="55"/>
      <c r="AB115" s="56"/>
      <c r="AC115" s="45">
        <f>SUM(W115:AB115)</f>
        <v>0</v>
      </c>
      <c r="AD115" s="253">
        <f>SUM(H115+O115+V115+AC115)</f>
        <v>0</v>
      </c>
    </row>
    <row r="116">
      <c r="A116" s="16" t="s">
        <v>119</v>
      </c>
      <c r="B116" s="55"/>
      <c r="C116" s="56"/>
      <c r="F116" s="55"/>
      <c r="G116" s="56"/>
      <c r="H116" s="45">
        <f>SUM(B116:G116)</f>
        <v>0</v>
      </c>
      <c r="I116" s="55"/>
      <c r="J116" s="56"/>
      <c r="M116" s="55"/>
      <c r="N116" s="56"/>
      <c r="O116" s="45">
        <f>SUM(I116:N116)</f>
        <v>0</v>
      </c>
      <c r="P116" s="55"/>
      <c r="Q116" s="56"/>
      <c r="T116" s="55"/>
      <c r="U116" s="56"/>
      <c r="V116" s="45">
        <f>SUM(P116:U116)</f>
        <v>0</v>
      </c>
      <c r="W116" s="55"/>
      <c r="X116" s="56"/>
      <c r="AA116" s="55"/>
      <c r="AB116" s="56"/>
      <c r="AC116" s="45">
        <f>SUM(W116:AB116)</f>
        <v>0</v>
      </c>
      <c r="AD116" s="253">
        <f>SUM(H116+O116+V116+AC116)</f>
        <v>0</v>
      </c>
    </row>
    <row r="117">
      <c r="A117" s="16" t="s">
        <v>119</v>
      </c>
      <c r="B117" s="55"/>
      <c r="C117" s="56"/>
      <c r="F117" s="55"/>
      <c r="G117" s="56"/>
      <c r="H117" s="45">
        <f>SUM(B117:G117)</f>
        <v>0</v>
      </c>
      <c r="I117" s="55"/>
      <c r="J117" s="56"/>
      <c r="M117" s="55"/>
      <c r="N117" s="56"/>
      <c r="O117" s="45">
        <f>SUM(I117:N117)</f>
        <v>0</v>
      </c>
      <c r="P117" s="55"/>
      <c r="Q117" s="56"/>
      <c r="T117" s="55"/>
      <c r="U117" s="56"/>
      <c r="V117" s="45">
        <f>SUM(P117:U117)</f>
        <v>0</v>
      </c>
      <c r="W117" s="55"/>
      <c r="X117" s="56"/>
      <c r="AA117" s="55"/>
      <c r="AB117" s="56"/>
      <c r="AC117" s="45">
        <f>SUM(W117:AB117)</f>
        <v>0</v>
      </c>
      <c r="AD117" s="253">
        <f>SUM(H117+O117+V117+AC117)</f>
        <v>0</v>
      </c>
    </row>
    <row r="118">
      <c r="A118" s="16" t="s">
        <v>119</v>
      </c>
      <c r="B118" s="55"/>
      <c r="C118" s="56"/>
      <c r="F118" s="55"/>
      <c r="G118" s="56"/>
      <c r="H118" s="45">
        <f>SUM(B118:G118)</f>
        <v>0</v>
      </c>
      <c r="I118" s="55"/>
      <c r="J118" s="56"/>
      <c r="M118" s="55"/>
      <c r="N118" s="56"/>
      <c r="O118" s="45">
        <f>SUM(I118:N118)</f>
        <v>0</v>
      </c>
      <c r="P118" s="55"/>
      <c r="Q118" s="56"/>
      <c r="T118" s="55"/>
      <c r="U118" s="56"/>
      <c r="V118" s="45">
        <f>SUM(P118:U118)</f>
        <v>0</v>
      </c>
      <c r="W118" s="55"/>
      <c r="X118" s="56"/>
      <c r="AA118" s="55"/>
      <c r="AB118" s="56"/>
      <c r="AC118" s="45">
        <f>SUM(W118:AB118)</f>
        <v>0</v>
      </c>
      <c r="AD118" s="253">
        <f>SUM(H118+O118+V118+AC118)</f>
        <v>0</v>
      </c>
    </row>
    <row r="119">
      <c r="A119" s="16" t="s">
        <v>119</v>
      </c>
      <c r="B119" s="55"/>
      <c r="C119" s="56"/>
      <c r="F119" s="55"/>
      <c r="G119" s="56"/>
      <c r="H119" s="45">
        <f>SUM(B119:G119)</f>
        <v>0</v>
      </c>
      <c r="I119" s="55"/>
      <c r="J119" s="56"/>
      <c r="M119" s="55"/>
      <c r="N119" s="56"/>
      <c r="O119" s="45">
        <f>SUM(I119:N119)</f>
        <v>0</v>
      </c>
      <c r="P119" s="55"/>
      <c r="Q119" s="56"/>
      <c r="T119" s="55"/>
      <c r="U119" s="56"/>
      <c r="V119" s="45">
        <f>SUM(P119:U119)</f>
        <v>0</v>
      </c>
      <c r="W119" s="55"/>
      <c r="X119" s="56"/>
      <c r="AA119" s="55"/>
      <c r="AB119" s="56"/>
      <c r="AC119" s="45">
        <f>SUM(W119:AB119)</f>
        <v>0</v>
      </c>
      <c r="AD119" s="253">
        <f>SUM(H119+O119+V119+AC119)</f>
        <v>0</v>
      </c>
    </row>
    <row r="120">
      <c r="A120" s="16" t="s">
        <v>119</v>
      </c>
      <c r="B120" s="55"/>
      <c r="C120" s="56"/>
      <c r="F120" s="55"/>
      <c r="G120" s="56"/>
      <c r="H120" s="45">
        <f>SUM(B120:G120)</f>
        <v>0</v>
      </c>
      <c r="I120" s="55"/>
      <c r="J120" s="56"/>
      <c r="M120" s="55"/>
      <c r="N120" s="56"/>
      <c r="O120" s="45">
        <f>SUM(I120:N120)</f>
        <v>0</v>
      </c>
      <c r="P120" s="55"/>
      <c r="Q120" s="56"/>
      <c r="T120" s="55"/>
      <c r="U120" s="56"/>
      <c r="V120" s="45">
        <f>SUM(P120:U120)</f>
        <v>0</v>
      </c>
      <c r="W120" s="55"/>
      <c r="X120" s="56"/>
      <c r="AA120" s="55"/>
      <c r="AB120" s="56"/>
      <c r="AC120" s="45">
        <f>SUM(W120:AB120)</f>
        <v>0</v>
      </c>
      <c r="AD120" s="253">
        <f>SUM(H120+O120+V120+AC120)</f>
        <v>0</v>
      </c>
    </row>
    <row r="121">
      <c r="A121" s="16" t="s">
        <v>119</v>
      </c>
      <c r="B121" s="55"/>
      <c r="C121" s="56"/>
      <c r="F121" s="55"/>
      <c r="G121" s="56"/>
      <c r="H121" s="45">
        <f>SUM(B121:G121)</f>
        <v>0</v>
      </c>
      <c r="I121" s="55"/>
      <c r="J121" s="56"/>
      <c r="M121" s="55"/>
      <c r="N121" s="56"/>
      <c r="O121" s="45">
        <f>SUM(I121:N121)</f>
        <v>0</v>
      </c>
      <c r="P121" s="55"/>
      <c r="Q121" s="56"/>
      <c r="T121" s="55"/>
      <c r="U121" s="56"/>
      <c r="V121" s="45">
        <f>SUM(P121:U121)</f>
        <v>0</v>
      </c>
      <c r="W121" s="55"/>
      <c r="X121" s="56"/>
      <c r="AA121" s="55"/>
      <c r="AB121" s="56"/>
      <c r="AC121" s="45">
        <f>SUM(W121:AB121)</f>
        <v>0</v>
      </c>
      <c r="AD121" s="253">
        <f>SUM(H121+O121+V121+AC121)</f>
        <v>0</v>
      </c>
    </row>
    <row r="122">
      <c r="A122" s="16" t="s">
        <v>119</v>
      </c>
      <c r="B122" s="55"/>
      <c r="C122" s="56"/>
      <c r="F122" s="55"/>
      <c r="G122" s="56"/>
      <c r="H122" s="45">
        <f>SUM(B122:G122)</f>
        <v>0</v>
      </c>
      <c r="I122" s="55"/>
      <c r="J122" s="56"/>
      <c r="M122" s="55"/>
      <c r="N122" s="56"/>
      <c r="O122" s="45">
        <f>SUM(I122:N122)</f>
        <v>0</v>
      </c>
      <c r="P122" s="55"/>
      <c r="Q122" s="56"/>
      <c r="T122" s="55"/>
      <c r="U122" s="56"/>
      <c r="V122" s="45">
        <f>SUM(P122:U122)</f>
        <v>0</v>
      </c>
      <c r="W122" s="55"/>
      <c r="X122" s="56"/>
      <c r="AA122" s="55"/>
      <c r="AB122" s="56"/>
      <c r="AC122" s="45">
        <f>SUM(W122:AB122)</f>
        <v>0</v>
      </c>
      <c r="AD122" s="253">
        <f>SUM(H122+O122+V122+AC122)</f>
        <v>0</v>
      </c>
    </row>
    <row r="123">
      <c r="A123" s="16" t="s">
        <v>119</v>
      </c>
      <c r="B123" s="55"/>
      <c r="C123" s="56"/>
      <c r="F123" s="55"/>
      <c r="G123" s="56"/>
      <c r="H123" s="45">
        <f>SUM(B123:G123)</f>
        <v>0</v>
      </c>
      <c r="I123" s="55"/>
      <c r="J123" s="56"/>
      <c r="M123" s="55"/>
      <c r="N123" s="56"/>
      <c r="O123" s="45">
        <f>SUM(I123:N123)</f>
        <v>0</v>
      </c>
      <c r="P123" s="55"/>
      <c r="Q123" s="56"/>
      <c r="T123" s="55"/>
      <c r="U123" s="56"/>
      <c r="V123" s="45">
        <f>SUM(P123:U123)</f>
        <v>0</v>
      </c>
      <c r="W123" s="55"/>
      <c r="X123" s="56"/>
      <c r="AA123" s="55"/>
      <c r="AB123" s="56"/>
      <c r="AC123" s="45">
        <f>SUM(W123:AB123)</f>
        <v>0</v>
      </c>
      <c r="AD123" s="253">
        <f>SUM(H123+O123+V123+AC123)</f>
        <v>0</v>
      </c>
    </row>
    <row r="124">
      <c r="A124" s="16" t="s">
        <v>119</v>
      </c>
      <c r="B124" s="55"/>
      <c r="C124" s="56"/>
      <c r="F124" s="55"/>
      <c r="G124" s="56"/>
      <c r="H124" s="45">
        <f>SUM(B124:G124)</f>
        <v>0</v>
      </c>
      <c r="I124" s="55"/>
      <c r="J124" s="56"/>
      <c r="M124" s="55"/>
      <c r="N124" s="56"/>
      <c r="O124" s="45">
        <f>SUM(I124:N124)</f>
        <v>0</v>
      </c>
      <c r="P124" s="55"/>
      <c r="Q124" s="56"/>
      <c r="T124" s="55"/>
      <c r="U124" s="56"/>
      <c r="V124" s="45">
        <f>SUM(P124:U124)</f>
        <v>0</v>
      </c>
      <c r="W124" s="55"/>
      <c r="X124" s="56"/>
      <c r="AA124" s="55"/>
      <c r="AB124" s="56"/>
      <c r="AC124" s="45">
        <f>SUM(W124:AB124)</f>
        <v>0</v>
      </c>
      <c r="AD124" s="253">
        <f>SUM(H124+O124+V124+AC124)</f>
        <v>0</v>
      </c>
    </row>
    <row r="125">
      <c r="A125" s="16" t="s">
        <v>119</v>
      </c>
      <c r="B125" s="55"/>
      <c r="C125" s="56"/>
      <c r="F125" s="55"/>
      <c r="G125" s="56"/>
      <c r="H125" s="45">
        <f>SUM(B125:G125)</f>
        <v>0</v>
      </c>
      <c r="I125" s="55"/>
      <c r="J125" s="56"/>
      <c r="M125" s="55"/>
      <c r="N125" s="56"/>
      <c r="O125" s="45">
        <f>SUM(I125:N125)</f>
        <v>0</v>
      </c>
      <c r="P125" s="55"/>
      <c r="Q125" s="56"/>
      <c r="T125" s="55"/>
      <c r="U125" s="56"/>
      <c r="V125" s="45">
        <f>SUM(P125:U125)</f>
        <v>0</v>
      </c>
      <c r="W125" s="55"/>
      <c r="X125" s="56"/>
      <c r="AA125" s="55"/>
      <c r="AB125" s="56"/>
      <c r="AC125" s="45">
        <f>SUM(W125:AB125)</f>
        <v>0</v>
      </c>
      <c r="AD125" s="253">
        <f>SUM(H125+O125+V125+AC125)</f>
        <v>0</v>
      </c>
    </row>
    <row r="126">
      <c r="A126" s="16" t="s">
        <v>119</v>
      </c>
      <c r="B126" s="55"/>
      <c r="C126" s="56"/>
      <c r="F126" s="55"/>
      <c r="G126" s="56"/>
      <c r="H126" s="45">
        <f>SUM(B126:G126)</f>
        <v>0</v>
      </c>
      <c r="I126" s="55"/>
      <c r="J126" s="56"/>
      <c r="M126" s="55"/>
      <c r="N126" s="56"/>
      <c r="O126" s="45">
        <f>SUM(I126:N126)</f>
        <v>0</v>
      </c>
      <c r="P126" s="55"/>
      <c r="Q126" s="56"/>
      <c r="T126" s="55"/>
      <c r="U126" s="56"/>
      <c r="V126" s="45">
        <f>SUM(P126:U126)</f>
        <v>0</v>
      </c>
      <c r="W126" s="55"/>
      <c r="X126" s="56"/>
      <c r="AA126" s="55"/>
      <c r="AB126" s="56"/>
      <c r="AC126" s="45">
        <f>SUM(W126:AB126)</f>
        <v>0</v>
      </c>
      <c r="AD126" s="253">
        <f>SUM(H126+O126+V126+AC126)</f>
        <v>0</v>
      </c>
    </row>
    <row r="127">
      <c r="A127" s="16" t="s">
        <v>119</v>
      </c>
      <c r="B127" s="55"/>
      <c r="C127" s="56"/>
      <c r="F127" s="55"/>
      <c r="G127" s="56"/>
      <c r="H127" s="45">
        <f>SUM(B127:G127)</f>
        <v>0</v>
      </c>
      <c r="I127" s="55"/>
      <c r="J127" s="56"/>
      <c r="M127" s="55"/>
      <c r="N127" s="56"/>
      <c r="O127" s="45">
        <f>SUM(I127:N127)</f>
        <v>0</v>
      </c>
      <c r="P127" s="55"/>
      <c r="Q127" s="56"/>
      <c r="T127" s="55"/>
      <c r="U127" s="56"/>
      <c r="V127" s="45">
        <f>SUM(P127:U127)</f>
        <v>0</v>
      </c>
      <c r="W127" s="55"/>
      <c r="X127" s="56"/>
      <c r="AA127" s="55"/>
      <c r="AB127" s="56"/>
      <c r="AC127" s="45">
        <f>SUM(W127:AB127)</f>
        <v>0</v>
      </c>
      <c r="AD127" s="253">
        <f>SUM(H127+O127+V127+AC127)</f>
        <v>0</v>
      </c>
    </row>
    <row r="128">
      <c r="A128" s="16" t="s">
        <v>119</v>
      </c>
      <c r="B128" s="55"/>
      <c r="C128" s="56"/>
      <c r="F128" s="55"/>
      <c r="G128" s="56"/>
      <c r="H128" s="45">
        <f>SUM(B128:G128)</f>
        <v>0</v>
      </c>
      <c r="I128" s="55"/>
      <c r="J128" s="56"/>
      <c r="M128" s="55"/>
      <c r="N128" s="56"/>
      <c r="O128" s="45">
        <f>SUM(I128:N128)</f>
        <v>0</v>
      </c>
      <c r="P128" s="55"/>
      <c r="Q128" s="56"/>
      <c r="T128" s="55"/>
      <c r="U128" s="56"/>
      <c r="V128" s="45">
        <f>SUM(P128:U128)</f>
        <v>0</v>
      </c>
      <c r="W128" s="55"/>
      <c r="X128" s="56"/>
      <c r="AA128" s="55"/>
      <c r="AB128" s="56"/>
      <c r="AC128" s="45">
        <f>SUM(W128:AB128)</f>
        <v>0</v>
      </c>
      <c r="AD128" s="253">
        <f>SUM(H128+O128+V128+AC128)</f>
        <v>0</v>
      </c>
    </row>
    <row r="129">
      <c r="A129" s="16" t="s">
        <v>119</v>
      </c>
      <c r="B129" s="55"/>
      <c r="C129" s="56"/>
      <c r="F129" s="55"/>
      <c r="G129" s="56"/>
      <c r="H129" s="45">
        <f>SUM(B129:G129)</f>
        <v>0</v>
      </c>
      <c r="I129" s="55"/>
      <c r="J129" s="56"/>
      <c r="M129" s="55"/>
      <c r="N129" s="56"/>
      <c r="O129" s="45">
        <f>SUM(I129:N129)</f>
        <v>0</v>
      </c>
      <c r="P129" s="55"/>
      <c r="Q129" s="56"/>
      <c r="T129" s="55"/>
      <c r="U129" s="56"/>
      <c r="V129" s="45">
        <f>SUM(P129:U129)</f>
        <v>0</v>
      </c>
      <c r="W129" s="55"/>
      <c r="X129" s="56"/>
      <c r="AA129" s="55"/>
      <c r="AB129" s="56"/>
      <c r="AC129" s="45">
        <f>SUM(W129:AB129)</f>
        <v>0</v>
      </c>
      <c r="AD129" s="253">
        <f>SUM(H129+O129+V129+AC129)</f>
        <v>0</v>
      </c>
    </row>
    <row r="130">
      <c r="A130" s="16" t="s">
        <v>119</v>
      </c>
      <c r="B130" s="55"/>
      <c r="C130" s="56"/>
      <c r="F130" s="55"/>
      <c r="G130" s="56"/>
      <c r="H130" s="45">
        <f>SUM(B130:G130)</f>
        <v>0</v>
      </c>
      <c r="I130" s="55"/>
      <c r="J130" s="56"/>
      <c r="M130" s="55"/>
      <c r="N130" s="56"/>
      <c r="O130" s="45">
        <f>SUM(I130:N130)</f>
        <v>0</v>
      </c>
      <c r="P130" s="55"/>
      <c r="Q130" s="56"/>
      <c r="T130" s="55"/>
      <c r="U130" s="56"/>
      <c r="V130" s="45">
        <f>SUM(P130:U130)</f>
        <v>0</v>
      </c>
      <c r="W130" s="55"/>
      <c r="X130" s="56"/>
      <c r="AA130" s="55"/>
      <c r="AB130" s="56"/>
      <c r="AC130" s="45">
        <f>SUM(W130:AB130)</f>
        <v>0</v>
      </c>
      <c r="AD130" s="253">
        <f>SUM(H130+O130+V130+AC130)</f>
        <v>0</v>
      </c>
    </row>
    <row r="131">
      <c r="A131" s="16" t="s">
        <v>119</v>
      </c>
      <c r="B131" s="55"/>
      <c r="C131" s="56"/>
      <c r="F131" s="55"/>
      <c r="G131" s="56"/>
      <c r="H131" s="45">
        <f>SUM(B131:G131)</f>
        <v>0</v>
      </c>
      <c r="I131" s="55"/>
      <c r="J131" s="56"/>
      <c r="M131" s="55"/>
      <c r="N131" s="56"/>
      <c r="O131" s="45">
        <f>SUM(I131:N131)</f>
        <v>0</v>
      </c>
      <c r="P131" s="55"/>
      <c r="Q131" s="56"/>
      <c r="T131" s="55"/>
      <c r="U131" s="56"/>
      <c r="V131" s="45">
        <f>SUM(P131:U131)</f>
        <v>0</v>
      </c>
      <c r="W131" s="55"/>
      <c r="X131" s="56"/>
      <c r="AA131" s="55"/>
      <c r="AB131" s="56"/>
      <c r="AC131" s="45">
        <f>SUM(W131:AB131)</f>
        <v>0</v>
      </c>
      <c r="AD131" s="253">
        <f>SUM(H131+O131+V131+AC131)</f>
        <v>0</v>
      </c>
    </row>
    <row r="132">
      <c r="A132" s="16" t="s">
        <v>119</v>
      </c>
      <c r="B132" s="55"/>
      <c r="C132" s="56"/>
      <c r="F132" s="55"/>
      <c r="G132" s="56"/>
      <c r="H132" s="45">
        <f>SUM(B132:G132)</f>
        <v>0</v>
      </c>
      <c r="I132" s="55"/>
      <c r="J132" s="56"/>
      <c r="M132" s="55"/>
      <c r="N132" s="56"/>
      <c r="O132" s="45">
        <f>SUM(I132:N132)</f>
        <v>0</v>
      </c>
      <c r="P132" s="55"/>
      <c r="Q132" s="56"/>
      <c r="T132" s="55"/>
      <c r="U132" s="56"/>
      <c r="V132" s="45">
        <f>SUM(P132:U132)</f>
        <v>0</v>
      </c>
      <c r="W132" s="55"/>
      <c r="X132" s="56"/>
      <c r="AA132" s="55"/>
      <c r="AB132" s="56"/>
      <c r="AC132" s="45">
        <f>SUM(W132:AB132)</f>
        <v>0</v>
      </c>
      <c r="AD132" s="253">
        <f>SUM(H132+O132+V132+AC132)</f>
        <v>0</v>
      </c>
    </row>
    <row r="133">
      <c r="A133" s="16" t="s">
        <v>119</v>
      </c>
      <c r="B133" s="55"/>
      <c r="C133" s="56"/>
      <c r="F133" s="55"/>
      <c r="G133" s="56"/>
      <c r="H133" s="45">
        <f>SUM(B133:G133)</f>
        <v>0</v>
      </c>
      <c r="I133" s="55"/>
      <c r="J133" s="56"/>
      <c r="M133" s="55"/>
      <c r="N133" s="56"/>
      <c r="O133" s="45">
        <f>SUM(I133:N133)</f>
        <v>0</v>
      </c>
      <c r="P133" s="55"/>
      <c r="Q133" s="56"/>
      <c r="T133" s="55"/>
      <c r="U133" s="56"/>
      <c r="V133" s="45">
        <f>SUM(P133:U133)</f>
        <v>0</v>
      </c>
      <c r="W133" s="55"/>
      <c r="X133" s="56"/>
      <c r="AA133" s="55"/>
      <c r="AB133" s="56"/>
      <c r="AC133" s="45">
        <f>SUM(W133:AB133)</f>
        <v>0</v>
      </c>
      <c r="AD133" s="253">
        <f>SUM(H133+O133+V133+AC133)</f>
        <v>0</v>
      </c>
    </row>
    <row r="134">
      <c r="A134" s="16" t="s">
        <v>119</v>
      </c>
      <c r="B134" s="55"/>
      <c r="C134" s="56"/>
      <c r="F134" s="55"/>
      <c r="G134" s="56"/>
      <c r="H134" s="45">
        <f>SUM(B134:G134)</f>
        <v>0</v>
      </c>
      <c r="I134" s="55"/>
      <c r="J134" s="56"/>
      <c r="M134" s="55"/>
      <c r="N134" s="56"/>
      <c r="O134" s="45">
        <f>SUM(I134:N134)</f>
        <v>0</v>
      </c>
      <c r="P134" s="55"/>
      <c r="Q134" s="56"/>
      <c r="T134" s="55"/>
      <c r="U134" s="56"/>
      <c r="V134" s="45">
        <f>SUM(P134:U134)</f>
        <v>0</v>
      </c>
      <c r="W134" s="55"/>
      <c r="X134" s="56"/>
      <c r="AA134" s="55"/>
      <c r="AB134" s="56"/>
      <c r="AC134" s="45">
        <f>SUM(W134:AB134)</f>
        <v>0</v>
      </c>
      <c r="AD134" s="253">
        <f>SUM(H134+O134+V134+AC134)</f>
        <v>0</v>
      </c>
    </row>
    <row r="135">
      <c r="A135" s="16" t="s">
        <v>119</v>
      </c>
      <c r="B135" s="55"/>
      <c r="C135" s="56"/>
      <c r="F135" s="55"/>
      <c r="G135" s="56"/>
      <c r="H135" s="45">
        <f>SUM(B135:G135)</f>
        <v>0</v>
      </c>
      <c r="I135" s="55"/>
      <c r="J135" s="56"/>
      <c r="M135" s="55"/>
      <c r="N135" s="56"/>
      <c r="O135" s="45">
        <f>SUM(I135:N135)</f>
        <v>0</v>
      </c>
      <c r="P135" s="55"/>
      <c r="Q135" s="56"/>
      <c r="T135" s="55"/>
      <c r="U135" s="56"/>
      <c r="V135" s="45">
        <f>SUM(P135:U135)</f>
        <v>0</v>
      </c>
      <c r="W135" s="55"/>
      <c r="X135" s="56"/>
      <c r="AA135" s="55"/>
      <c r="AB135" s="56"/>
      <c r="AC135" s="45">
        <f>SUM(W135:AB135)</f>
        <v>0</v>
      </c>
      <c r="AD135" s="253">
        <f>SUM(H135+O135+V135+AC135)</f>
        <v>0</v>
      </c>
    </row>
    <row r="136">
      <c r="A136" s="16" t="s">
        <v>119</v>
      </c>
      <c r="B136" s="55"/>
      <c r="C136" s="56"/>
      <c r="F136" s="55"/>
      <c r="G136" s="56"/>
      <c r="H136" s="45">
        <f>SUM(B136:G136)</f>
        <v>0</v>
      </c>
      <c r="I136" s="55"/>
      <c r="J136" s="56"/>
      <c r="M136" s="55"/>
      <c r="N136" s="56"/>
      <c r="O136" s="45">
        <f>SUM(I136:N136)</f>
        <v>0</v>
      </c>
      <c r="P136" s="55"/>
      <c r="Q136" s="56"/>
      <c r="T136" s="55"/>
      <c r="U136" s="56"/>
      <c r="V136" s="45">
        <f>SUM(P136:U136)</f>
        <v>0</v>
      </c>
      <c r="W136" s="55"/>
      <c r="X136" s="56"/>
      <c r="AA136" s="55"/>
      <c r="AB136" s="56"/>
      <c r="AC136" s="45">
        <f>SUM(W136:AB136)</f>
        <v>0</v>
      </c>
      <c r="AD136" s="253">
        <f>SUM(H136+O136+V136+AC136)</f>
        <v>0</v>
      </c>
    </row>
    <row r="137">
      <c r="A137" s="16" t="s">
        <v>119</v>
      </c>
      <c r="B137" s="55"/>
      <c r="C137" s="56"/>
      <c r="F137" s="55"/>
      <c r="G137" s="56"/>
      <c r="H137" s="45">
        <f>SUM(B137:G137)</f>
        <v>0</v>
      </c>
      <c r="I137" s="55"/>
      <c r="J137" s="56"/>
      <c r="M137" s="55"/>
      <c r="N137" s="56"/>
      <c r="O137" s="45">
        <f>SUM(I137:N137)</f>
        <v>0</v>
      </c>
      <c r="P137" s="55"/>
      <c r="Q137" s="56"/>
      <c r="T137" s="55"/>
      <c r="U137" s="56"/>
      <c r="V137" s="45">
        <f>SUM(P137:U137)</f>
        <v>0</v>
      </c>
      <c r="W137" s="55"/>
      <c r="X137" s="56"/>
      <c r="AA137" s="55"/>
      <c r="AB137" s="56"/>
      <c r="AC137" s="45">
        <f>SUM(W137:AB137)</f>
        <v>0</v>
      </c>
      <c r="AD137" s="253">
        <f>SUM(H137+O137+V137+AC137)</f>
        <v>0</v>
      </c>
    </row>
    <row r="138">
      <c r="A138" s="16" t="s">
        <v>119</v>
      </c>
      <c r="B138" s="55"/>
      <c r="C138" s="56"/>
      <c r="F138" s="55"/>
      <c r="G138" s="56"/>
      <c r="H138" s="45">
        <f>SUM(B138:G138)</f>
        <v>0</v>
      </c>
      <c r="I138" s="55"/>
      <c r="J138" s="56"/>
      <c r="M138" s="55"/>
      <c r="N138" s="56"/>
      <c r="O138" s="45">
        <f>SUM(I138:N138)</f>
        <v>0</v>
      </c>
      <c r="P138" s="55"/>
      <c r="Q138" s="56"/>
      <c r="T138" s="55"/>
      <c r="U138" s="56"/>
      <c r="V138" s="45">
        <f>SUM(P138:U138)</f>
        <v>0</v>
      </c>
      <c r="W138" s="55"/>
      <c r="X138" s="56"/>
      <c r="AA138" s="55"/>
      <c r="AB138" s="56"/>
      <c r="AC138" s="45">
        <f>SUM(W138:AB138)</f>
        <v>0</v>
      </c>
      <c r="AD138" s="253">
        <f>SUM(H138+O138+V138+AC138)</f>
        <v>0</v>
      </c>
    </row>
    <row r="139">
      <c r="A139" s="16" t="s">
        <v>119</v>
      </c>
      <c r="B139" s="55"/>
      <c r="C139" s="56"/>
      <c r="F139" s="55"/>
      <c r="G139" s="56"/>
      <c r="H139" s="45">
        <f>SUM(B139:G139)</f>
        <v>0</v>
      </c>
      <c r="I139" s="55"/>
      <c r="J139" s="56"/>
      <c r="M139" s="55"/>
      <c r="N139" s="56"/>
      <c r="O139" s="45">
        <f>SUM(I139:N139)</f>
        <v>0</v>
      </c>
      <c r="P139" s="55"/>
      <c r="Q139" s="56"/>
      <c r="T139" s="55"/>
      <c r="U139" s="56"/>
      <c r="V139" s="45">
        <f>SUM(P139:U139)</f>
        <v>0</v>
      </c>
      <c r="W139" s="55"/>
      <c r="X139" s="56"/>
      <c r="AA139" s="55"/>
      <c r="AB139" s="56"/>
      <c r="AC139" s="45">
        <f>SUM(W139:AB139)</f>
        <v>0</v>
      </c>
      <c r="AD139" s="253">
        <f>SUM(H139+O139+V139+AC139)</f>
        <v>0</v>
      </c>
    </row>
    <row r="140">
      <c r="A140" s="16" t="s">
        <v>119</v>
      </c>
      <c r="B140" s="55"/>
      <c r="C140" s="56"/>
      <c r="F140" s="55"/>
      <c r="G140" s="56"/>
      <c r="H140" s="45">
        <f>SUM(B140:G140)</f>
        <v>0</v>
      </c>
      <c r="I140" s="55"/>
      <c r="J140" s="56"/>
      <c r="M140" s="55"/>
      <c r="N140" s="56"/>
      <c r="O140" s="45">
        <f>SUM(I140:N140)</f>
        <v>0</v>
      </c>
      <c r="P140" s="55"/>
      <c r="Q140" s="56"/>
      <c r="T140" s="55"/>
      <c r="U140" s="56"/>
      <c r="V140" s="45">
        <f>SUM(P140:U140)</f>
        <v>0</v>
      </c>
      <c r="W140" s="55"/>
      <c r="X140" s="56"/>
      <c r="AA140" s="55"/>
      <c r="AB140" s="56"/>
      <c r="AC140" s="45">
        <f>SUM(W140:AB140)</f>
        <v>0</v>
      </c>
      <c r="AD140" s="253">
        <f>SUM(H140+O140+V140+AC140)</f>
        <v>0</v>
      </c>
    </row>
    <row r="141">
      <c r="A141" s="16" t="s">
        <v>119</v>
      </c>
      <c r="B141" s="55"/>
      <c r="C141" s="56"/>
      <c r="F141" s="55"/>
      <c r="G141" s="56"/>
      <c r="H141" s="45">
        <f>SUM(B141:G141)</f>
        <v>0</v>
      </c>
      <c r="I141" s="55"/>
      <c r="J141" s="56"/>
      <c r="M141" s="55"/>
      <c r="N141" s="56"/>
      <c r="O141" s="45">
        <f>SUM(I141:N141)</f>
        <v>0</v>
      </c>
      <c r="P141" s="55"/>
      <c r="Q141" s="56"/>
      <c r="T141" s="55"/>
      <c r="U141" s="56"/>
      <c r="V141" s="45">
        <f>SUM(P141:U141)</f>
        <v>0</v>
      </c>
      <c r="W141" s="55"/>
      <c r="X141" s="56"/>
      <c r="AA141" s="55"/>
      <c r="AB141" s="56"/>
      <c r="AC141" s="45">
        <f>SUM(W141:AB141)</f>
        <v>0</v>
      </c>
      <c r="AD141" s="253">
        <f>SUM(H141+O141+V141+AC141)</f>
        <v>0</v>
      </c>
    </row>
    <row r="142">
      <c r="A142" s="16" t="s">
        <v>119</v>
      </c>
      <c r="B142" s="55"/>
      <c r="C142" s="56"/>
      <c r="F142" s="55"/>
      <c r="G142" s="56"/>
      <c r="H142" s="45">
        <f>SUM(B142:G142)</f>
        <v>0</v>
      </c>
      <c r="I142" s="55"/>
      <c r="J142" s="56"/>
      <c r="M142" s="55"/>
      <c r="N142" s="56"/>
      <c r="O142" s="45">
        <f>SUM(I142:N142)</f>
        <v>0</v>
      </c>
      <c r="P142" s="55"/>
      <c r="Q142" s="56"/>
      <c r="T142" s="55"/>
      <c r="U142" s="56"/>
      <c r="V142" s="45">
        <f>SUM(P142:U142)</f>
        <v>0</v>
      </c>
      <c r="W142" s="55"/>
      <c r="X142" s="56"/>
      <c r="AA142" s="55"/>
      <c r="AB142" s="56"/>
      <c r="AC142" s="45">
        <f>SUM(W142:AB142)</f>
        <v>0</v>
      </c>
      <c r="AD142" s="253">
        <f>SUM(H142+O142+V142+AC142)</f>
        <v>0</v>
      </c>
    </row>
    <row r="143">
      <c r="A143" s="16" t="s">
        <v>119</v>
      </c>
      <c r="B143" s="55"/>
      <c r="C143" s="56"/>
      <c r="F143" s="55"/>
      <c r="G143" s="56"/>
      <c r="H143" s="45">
        <f>SUM(B143:G143)</f>
        <v>0</v>
      </c>
      <c r="I143" s="55"/>
      <c r="J143" s="56"/>
      <c r="M143" s="55"/>
      <c r="N143" s="56"/>
      <c r="O143" s="45">
        <f>SUM(I143:N143)</f>
        <v>0</v>
      </c>
      <c r="P143" s="55"/>
      <c r="Q143" s="56"/>
      <c r="T143" s="55"/>
      <c r="U143" s="56"/>
      <c r="V143" s="45">
        <f>SUM(P143:U143)</f>
        <v>0</v>
      </c>
      <c r="W143" s="55"/>
      <c r="X143" s="56"/>
      <c r="AA143" s="55"/>
      <c r="AB143" s="56"/>
      <c r="AC143" s="45">
        <f>SUM(W143:AB143)</f>
        <v>0</v>
      </c>
      <c r="AD143" s="253">
        <f>SUM(H143+O143+V143+AC143)</f>
        <v>0</v>
      </c>
    </row>
    <row r="144">
      <c r="A144" s="16" t="s">
        <v>119</v>
      </c>
      <c r="B144" s="55"/>
      <c r="C144" s="56"/>
      <c r="F144" s="55"/>
      <c r="G144" s="56"/>
      <c r="H144" s="45">
        <f>SUM(B144:G144)</f>
        <v>0</v>
      </c>
      <c r="I144" s="55"/>
      <c r="J144" s="56"/>
      <c r="M144" s="55"/>
      <c r="N144" s="56"/>
      <c r="O144" s="45">
        <f>SUM(I144:N144)</f>
        <v>0</v>
      </c>
      <c r="P144" s="55"/>
      <c r="Q144" s="56"/>
      <c r="T144" s="55"/>
      <c r="U144" s="56"/>
      <c r="V144" s="45">
        <f>SUM(P144:U144)</f>
        <v>0</v>
      </c>
      <c r="W144" s="55"/>
      <c r="X144" s="56"/>
      <c r="AA144" s="55"/>
      <c r="AB144" s="56"/>
      <c r="AC144" s="45">
        <f>SUM(W144:AB144)</f>
        <v>0</v>
      </c>
      <c r="AD144" s="253">
        <f>SUM(H144+O144+V144+AC144)</f>
        <v>0</v>
      </c>
    </row>
    <row r="145">
      <c r="A145" s="16" t="s">
        <v>119</v>
      </c>
      <c r="B145" s="55"/>
      <c r="C145" s="56"/>
      <c r="F145" s="55"/>
      <c r="G145" s="56"/>
      <c r="H145" s="45">
        <f>SUM(B145:G145)</f>
        <v>0</v>
      </c>
      <c r="I145" s="55"/>
      <c r="J145" s="56"/>
      <c r="M145" s="55"/>
      <c r="N145" s="56"/>
      <c r="O145" s="45">
        <f>SUM(I145:N145)</f>
        <v>0</v>
      </c>
      <c r="P145" s="55"/>
      <c r="Q145" s="56"/>
      <c r="T145" s="55"/>
      <c r="U145" s="56"/>
      <c r="V145" s="45">
        <f>SUM(P145:U145)</f>
        <v>0</v>
      </c>
      <c r="W145" s="55"/>
      <c r="X145" s="56"/>
      <c r="AA145" s="55"/>
      <c r="AB145" s="56"/>
      <c r="AC145" s="45">
        <f>SUM(W145:AB145)</f>
        <v>0</v>
      </c>
      <c r="AD145" s="253">
        <f>SUM(H145+O145+V145+AC145)</f>
        <v>0</v>
      </c>
    </row>
    <row r="146">
      <c r="A146" s="16" t="s">
        <v>119</v>
      </c>
      <c r="B146" s="55"/>
      <c r="C146" s="56"/>
      <c r="F146" s="55"/>
      <c r="G146" s="56"/>
      <c r="H146" s="45">
        <f>SUM(B146:G146)</f>
        <v>0</v>
      </c>
      <c r="I146" s="55"/>
      <c r="J146" s="56"/>
      <c r="M146" s="55"/>
      <c r="N146" s="56"/>
      <c r="O146" s="45">
        <f>SUM(I146:N146)</f>
        <v>0</v>
      </c>
      <c r="P146" s="55"/>
      <c r="Q146" s="56"/>
      <c r="T146" s="55"/>
      <c r="U146" s="56"/>
      <c r="V146" s="45">
        <f>SUM(P146:U146)</f>
        <v>0</v>
      </c>
      <c r="W146" s="55"/>
      <c r="X146" s="56"/>
      <c r="AA146" s="55"/>
      <c r="AB146" s="56"/>
      <c r="AC146" s="45">
        <f>SUM(W146:AB146)</f>
        <v>0</v>
      </c>
      <c r="AD146" s="253">
        <f>SUM(H146+O146+V146+AC146)</f>
        <v>0</v>
      </c>
    </row>
    <row r="147">
      <c r="A147" s="16" t="s">
        <v>119</v>
      </c>
      <c r="B147" s="55"/>
      <c r="C147" s="56"/>
      <c r="F147" s="55"/>
      <c r="G147" s="56"/>
      <c r="H147" s="45">
        <f>SUM(B147:G147)</f>
        <v>0</v>
      </c>
      <c r="I147" s="55"/>
      <c r="J147" s="56"/>
      <c r="M147" s="55"/>
      <c r="N147" s="56"/>
      <c r="O147" s="45">
        <f>SUM(I147:N147)</f>
        <v>0</v>
      </c>
      <c r="P147" s="55"/>
      <c r="Q147" s="56"/>
      <c r="T147" s="55"/>
      <c r="U147" s="56"/>
      <c r="V147" s="45">
        <f>SUM(P147:U147)</f>
        <v>0</v>
      </c>
      <c r="W147" s="55"/>
      <c r="X147" s="56"/>
      <c r="AA147" s="55"/>
      <c r="AB147" s="56"/>
      <c r="AC147" s="45">
        <f>SUM(W147:AB147)</f>
        <v>0</v>
      </c>
      <c r="AD147" s="253">
        <f>SUM(H147+O147+V147+AC147)</f>
        <v>0</v>
      </c>
    </row>
    <row r="148">
      <c r="A148" s="16" t="s">
        <v>119</v>
      </c>
      <c r="B148" s="55"/>
      <c r="C148" s="56"/>
      <c r="F148" s="55"/>
      <c r="G148" s="56"/>
      <c r="H148" s="45">
        <f>SUM(B148:G148)</f>
        <v>0</v>
      </c>
      <c r="I148" s="55"/>
      <c r="J148" s="56"/>
      <c r="M148" s="55"/>
      <c r="N148" s="56"/>
      <c r="O148" s="45">
        <f>SUM(I148:N148)</f>
        <v>0</v>
      </c>
      <c r="P148" s="55"/>
      <c r="Q148" s="56"/>
      <c r="T148" s="55"/>
      <c r="U148" s="56"/>
      <c r="V148" s="45">
        <f>SUM(P148:U148)</f>
        <v>0</v>
      </c>
      <c r="W148" s="55"/>
      <c r="X148" s="56"/>
      <c r="AA148" s="55"/>
      <c r="AB148" s="56"/>
      <c r="AC148" s="45">
        <f>SUM(W148:AB148)</f>
        <v>0</v>
      </c>
      <c r="AD148" s="253">
        <f>SUM(H148+O148+V148+AC148)</f>
        <v>0</v>
      </c>
    </row>
    <row r="149">
      <c r="A149" s="16" t="s">
        <v>119</v>
      </c>
      <c r="B149" s="55"/>
      <c r="C149" s="56"/>
      <c r="F149" s="55"/>
      <c r="G149" s="56"/>
      <c r="H149" s="45">
        <f>SUM(B149:G149)</f>
        <v>0</v>
      </c>
      <c r="I149" s="55"/>
      <c r="J149" s="56"/>
      <c r="M149" s="55"/>
      <c r="N149" s="56"/>
      <c r="O149" s="45">
        <f>SUM(I149:N149)</f>
        <v>0</v>
      </c>
      <c r="P149" s="55"/>
      <c r="Q149" s="56"/>
      <c r="T149" s="55"/>
      <c r="U149" s="56"/>
      <c r="V149" s="45">
        <f>SUM(P149:U149)</f>
        <v>0</v>
      </c>
      <c r="W149" s="55"/>
      <c r="X149" s="56"/>
      <c r="AA149" s="55"/>
      <c r="AB149" s="56"/>
      <c r="AC149" s="45">
        <f>SUM(W149:AB149)</f>
        <v>0</v>
      </c>
      <c r="AD149" s="253">
        <f>SUM(H149+O149+V149+AC149)</f>
        <v>0</v>
      </c>
    </row>
    <row r="150">
      <c r="A150" s="213" t="s">
        <v>119</v>
      </c>
      <c r="B150" s="214"/>
      <c r="C150" s="215"/>
      <c r="D150" s="216"/>
      <c r="E150" s="216"/>
      <c r="F150" s="214"/>
      <c r="G150" s="215"/>
      <c r="H150" s="45">
        <f>SUM(B150:G150)</f>
        <v>0</v>
      </c>
      <c r="I150" s="214"/>
      <c r="J150" s="215"/>
      <c r="K150" s="216"/>
      <c r="L150" s="216"/>
      <c r="M150" s="214"/>
      <c r="N150" s="215"/>
      <c r="O150" s="45">
        <f>SUM(I150:N150)</f>
        <v>0</v>
      </c>
      <c r="P150" s="214"/>
      <c r="Q150" s="215"/>
      <c r="R150" s="216"/>
      <c r="S150" s="216"/>
      <c r="T150" s="214"/>
      <c r="U150" s="215"/>
      <c r="V150" s="45">
        <f>SUM(P150:U150)</f>
        <v>0</v>
      </c>
      <c r="W150" s="214"/>
      <c r="X150" s="215"/>
      <c r="Y150" s="216"/>
      <c r="Z150" s="216"/>
      <c r="AA150" s="214"/>
      <c r="AB150" s="215"/>
      <c r="AC150" s="45">
        <f>SUM(W150:AB150)</f>
        <v>0</v>
      </c>
      <c r="AD150" s="253">
        <f>SUM(H150+O150+V150+AC150)</f>
        <v>0</v>
      </c>
    </row>
    <row r="151">
      <c r="A151" s="249" t="s">
        <v>48</v>
      </c>
      <c r="B151" s="258">
        <f>SUM(B3:C150)</f>
        <v>0</v>
      </c>
      <c r="C151" s="258"/>
      <c r="D151" s="258">
        <f>SUM(D3:E150)</f>
        <v>0</v>
      </c>
      <c r="E151" s="258"/>
      <c r="F151" s="258">
        <f>SUM(F3:G150)</f>
        <v>0</v>
      </c>
      <c r="G151" s="258"/>
      <c r="H151" s="256">
        <f>SUM(H3:H150)</f>
        <v>0</v>
      </c>
      <c r="I151" s="258">
        <f>SUM(I3:J150)</f>
        <v>0</v>
      </c>
      <c r="J151" s="258"/>
      <c r="K151" s="258">
        <f>SUM(K3:L150)</f>
        <v>0</v>
      </c>
      <c r="L151" s="258"/>
      <c r="M151" s="258">
        <f>SUM(M3:N150)</f>
        <v>0</v>
      </c>
      <c r="N151" s="258"/>
      <c r="O151" s="256">
        <f>SUM(O3:O150)</f>
        <v>0</v>
      </c>
      <c r="P151" s="258">
        <f>SUM(P3:Q150)</f>
        <v>0</v>
      </c>
      <c r="Q151" s="258"/>
      <c r="R151" s="258">
        <f>SUM(R3:S150)</f>
        <v>0</v>
      </c>
      <c r="S151" s="258"/>
      <c r="T151" s="258">
        <f>SUM(T3:U150)</f>
        <v>0</v>
      </c>
      <c r="U151" s="258"/>
      <c r="V151" s="256">
        <f>SUM(V3:V150)</f>
        <v>0</v>
      </c>
      <c r="W151" s="258">
        <f>SUM(W3:X150)</f>
        <v>0</v>
      </c>
      <c r="X151" s="258"/>
      <c r="Y151" s="258">
        <f>SUM(Y3:Z150)</f>
        <v>0</v>
      </c>
      <c r="Z151" s="258"/>
      <c r="AA151" s="258">
        <f>SUM(AA3:AB150)</f>
        <v>0</v>
      </c>
      <c r="AB151" s="258"/>
      <c r="AC151" s="256">
        <f>SUM(AC3:AC150)</f>
        <v>0</v>
      </c>
      <c r="AD151" s="257"/>
    </row>
  </sheetData>
  <mergeCells count="25">
    <mergeCell ref="A1:A2"/>
    <mergeCell ref="B1:C1"/>
    <mergeCell ref="D1:E1"/>
    <mergeCell ref="F1:G1"/>
    <mergeCell ref="I1:J1"/>
    <mergeCell ref="K1:L1"/>
    <mergeCell ref="M1:N1"/>
    <mergeCell ref="P1:Q1"/>
    <mergeCell ref="R1:S1"/>
    <mergeCell ref="T1:U1"/>
    <mergeCell ref="W1:X1"/>
    <mergeCell ref="Y1:Z1"/>
    <mergeCell ref="AA1:AB1"/>
    <mergeCell ref="B151:C151"/>
    <mergeCell ref="D151:E151"/>
    <mergeCell ref="F151:G151"/>
    <mergeCell ref="I151:J151"/>
    <mergeCell ref="K151:L151"/>
    <mergeCell ref="M151:N151"/>
    <mergeCell ref="P151:Q151"/>
    <mergeCell ref="R151:S151"/>
    <mergeCell ref="T151:U151"/>
    <mergeCell ref="W151:X151"/>
    <mergeCell ref="Y151:Z151"/>
    <mergeCell ref="AA151:AB1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J13" activeCellId="0" sqref="J13"/>
    </sheetView>
  </sheetViews>
  <sheetFormatPr defaultRowHeight="15" outlineLevelRow="0" outlineLevelCol="0"/>
  <cols>
    <col min="1" max="1" width="19" customWidth="1"/>
    <col min="2" max="2" width="17.21875" customWidth="1"/>
  </cols>
  <sheetData>
    <row r="1">
      <c r="A1" s="227" t="s">
        <v>84</v>
      </c>
      <c r="B1" s="228" t="s">
        <v>146</v>
      </c>
      <c r="C1" s="228"/>
      <c r="D1" s="229"/>
      <c r="E1" s="229"/>
      <c r="F1" s="229"/>
      <c r="G1" s="230"/>
    </row>
    <row r="2">
      <c r="A2" s="231"/>
      <c r="B2" s="101" t="s">
        <v>109</v>
      </c>
      <c r="C2" s="101" t="s">
        <v>114</v>
      </c>
      <c r="D2" s="101" t="s">
        <v>87</v>
      </c>
      <c r="E2" s="101" t="s">
        <v>88</v>
      </c>
      <c r="F2" s="101" t="s">
        <v>10</v>
      </c>
      <c r="G2" s="173" t="s">
        <v>72</v>
      </c>
    </row>
    <row r="3">
      <c r="A3" s="231"/>
      <c r="B3" s="159" t="str">
        <f>'Себестоимость'!D1</f>
        <v>Услуга 1</v>
      </c>
      <c r="C3" s="45">
        <f>SUM('Чистая прибыль'!C3+'Чистая прибыль'!C37+'Чистая прибыль'!C71+'Чистая прибыль'!C105+'Чистая прибыль'!K3+'Чистая прибыль'!K37+'Чистая прибыль'!K71+'Чистая прибыль'!K105+'Чистая прибыль'!S3+'Чистая прибыль'!S37+'Чистая прибыль'!S71+'Чистая прибыль'!S105)</f>
        <v>0</v>
      </c>
      <c r="D3" s="159">
        <f>SUM('Чистая прибыль'!D3+'Чистая прибыль'!D37+'Чистая прибыль'!D71+'Чистая прибыль'!D105+'Чистая прибыль'!L3+'Чистая прибыль'!L37+'Чистая прибыль'!L71+'Чистая прибыль'!T3+'Чистая прибыль'!T37+'Чистая прибыль'!T71+'Чистая прибыль'!T105)</f>
        <v>0</v>
      </c>
      <c r="E3" s="159" t="e">
        <f>'Себестоимость'!D60</f>
        <v>#DIV/0!</v>
      </c>
      <c r="F3" s="159" t="e">
        <f>D3*E3</f>
        <v>#DIV/0!</v>
      </c>
      <c r="G3" s="160" t="e">
        <f>SUM(F3:F12)</f>
        <v>#DIV/0!</v>
      </c>
    </row>
    <row r="4">
      <c r="A4" s="231"/>
      <c r="B4" s="159" t="str">
        <f>'Себестоимость'!F1</f>
        <v>Услуга 2</v>
      </c>
      <c r="C4" s="45">
        <f>SUM('Чистая прибыль'!C4+'Чистая прибыль'!C38+'Чистая прибыль'!C72+'Чистая прибыль'!C106+'Чистая прибыль'!K4+'Чистая прибыль'!K38+'Чистая прибыль'!K72+'Чистая прибыль'!K106+'Чистая прибыль'!S4+'Чистая прибыль'!S38+'Чистая прибыль'!S72+'Чистая прибыль'!S106)</f>
        <v>0</v>
      </c>
      <c r="D4" s="159">
        <f>SUM('Чистая прибыль'!D4+'Чистая прибыль'!D38+'Чистая прибыль'!D72+'Чистая прибыль'!D106+'Чистая прибыль'!L4+'Чистая прибыль'!T4+'Чистая прибыль'!L38+'Чистая прибыль'!T38+'Чистая прибыль'!L72+'Чистая прибыль'!T72+'Чистая прибыль'!L106+'Чистая прибыль'!T106)</f>
        <v>0</v>
      </c>
      <c r="E4" s="159" t="e">
        <f>'Себестоимость'!F60</f>
        <v>#DIV/0!</v>
      </c>
      <c r="F4" s="159" t="e">
        <f>D4*E4</f>
        <v>#DIV/0!</v>
      </c>
      <c r="G4" s="160"/>
    </row>
    <row r="5">
      <c r="A5" s="231"/>
      <c r="B5" s="159" t="str">
        <f>'Себестоимость'!H1</f>
        <v>Услуга 3</v>
      </c>
      <c r="C5" s="45">
        <f>SUM('Чистая прибыль'!C5+'Чистая прибыль'!C39+'Чистая прибыль'!C73+'Чистая прибыль'!K5+'Чистая прибыль'!K39+'Чистая прибыль'!K73+'Чистая прибыль'!K107+'Чистая прибыль'!C107+'Чистая прибыль'!S5+'Чистая прибыль'!S39+'Чистая прибыль'!S73+'Чистая прибыль'!S107)</f>
        <v>0</v>
      </c>
      <c r="D5" s="159">
        <f>SUM('Чистая прибыль'!D5+'Чистая прибыль'!D39+'Чистая прибыль'!D73+'Чистая прибыль'!D107+'Чистая прибыль'!L5+'Чистая прибыль'!L39+'Чистая прибыль'!L73+'Чистая прибыль'!K107+'Чистая прибыль'!T5+'Чистая прибыль'!T39+'Чистая прибыль'!T73+'Чистая прибыль'!T107)</f>
        <v>0</v>
      </c>
      <c r="E5" s="159" t="e">
        <f>'Себестоимость'!H60</f>
        <v>#DIV/0!</v>
      </c>
      <c r="F5" s="159" t="e">
        <f>D5*E5</f>
        <v>#DIV/0!</v>
      </c>
      <c r="G5" s="160"/>
    </row>
    <row r="6">
      <c r="A6" s="231"/>
      <c r="B6" s="176" t="str">
        <f>'Себестоимость'!J1</f>
        <v>Услуга 4</v>
      </c>
      <c r="C6" s="39">
        <f>SUM('Чистая прибыль'!C6+'Чистая прибыль'!C40+'Чистая прибыль'!C74+'Чистая прибыль'!C108+'Чистая прибыль'!K108+'Чистая прибыль'!K74+'Чистая прибыль'!K40+'Чистая прибыль'!K6+'Чистая прибыль'!S6+'Чистая прибыль'!S40+'Чистая прибыль'!S74+'Чистая прибыль'!S108)</f>
        <v>0</v>
      </c>
      <c r="D6" s="159">
        <f>SUM('Чистая прибыль'!D6+'Чистая прибыль'!D40+'Чистая прибыль'!D74+'Чистая прибыль'!D108+'Чистая прибыль'!L6+'Чистая прибыль'!L40+'Чистая прибыль'!L74+'Чистая прибыль'!K108+'Чистая прибыль'!T6+'Чистая прибыль'!T40+'Чистая прибыль'!T74+'Чистая прибыль'!T108)</f>
        <v>0</v>
      </c>
      <c r="E6" s="159" t="e">
        <f>'Себестоимость'!J60</f>
        <v>#DIV/0!</v>
      </c>
      <c r="F6" s="159" t="e">
        <f>D6*E6</f>
        <v>#DIV/0!</v>
      </c>
      <c r="G6" s="160"/>
    </row>
    <row r="7">
      <c r="A7" s="231"/>
      <c r="B7" s="176" t="str">
        <f>'Себестоимость'!L1</f>
        <v>Услуга 5</v>
      </c>
      <c r="C7" s="176">
        <f>SUM('Чистая прибыль'!C7+'Чистая прибыль'!C41+'Чистая прибыль'!C75+'Чистая прибыль'!C109+'Чистая прибыль'!K109+'Чистая прибыль'!K75+'Чистая прибыль'!K41+'Чистая прибыль'!K7+'Чистая прибыль'!S7+'Чистая прибыль'!S41+'Чистая прибыль'!S75+'Чистая прибыль'!S109)</f>
        <v>0</v>
      </c>
      <c r="D7" s="159">
        <f>SUM('Чистая прибыль'!D7+'Чистая прибыль'!D41+'Чистая прибыль'!D75+'Чистая прибыль'!D109+'Чистая прибыль'!L7+'Чистая прибыль'!L41+'Чистая прибыль'!L75+'Чистая прибыль'!K109+'Чистая прибыль'!T7+'Чистая прибыль'!T41+'Чистая прибыль'!T75+'Чистая прибыль'!T109)</f>
        <v>0</v>
      </c>
      <c r="E7" s="159" t="e">
        <f>'Себестоимость'!L60</f>
        <v>#DIV/0!</v>
      </c>
      <c r="F7" s="159" t="e">
        <f>D7*E7</f>
        <v>#DIV/0!</v>
      </c>
      <c r="G7" s="160"/>
    </row>
    <row r="8">
      <c r="A8" s="231"/>
      <c r="B8" s="176" t="str">
        <f>'Себестоимость'!N1</f>
        <v>Услуга 6</v>
      </c>
      <c r="C8" s="176">
        <f>SUM('Чистая прибыль'!C8+'Чистая прибыль'!C42+'Чистая прибыль'!C76+'Чистая прибыль'!C110+'Чистая прибыль'!K8+'Чистая прибыль'!K42+'Чистая прибыль'!K76+'Чистая прибыль'!K110+'Чистая прибыль'!S8+'Чистая прибыль'!S42+'Чистая прибыль'!S76+'Чистая прибыль'!S110)</f>
        <v>0</v>
      </c>
      <c r="D8" s="159">
        <f>SUM('Чистая прибыль'!D8+'Чистая прибыль'!D42+'Чистая прибыль'!D76+'Чистая прибыль'!D110+'Чистая прибыль'!L8+'Чистая прибыль'!L42+'Чистая прибыль'!L76+'Чистая прибыль'!K110+'Чистая прибыль'!T8+'Чистая прибыль'!T42+'Чистая прибыль'!T76+'Чистая прибыль'!T110)</f>
        <v>0</v>
      </c>
      <c r="E8" s="159" t="e">
        <f>'Себестоимость'!N60</f>
        <v>#DIV/0!</v>
      </c>
      <c r="F8" s="159" t="e">
        <f>D8*E8</f>
        <v>#DIV/0!</v>
      </c>
      <c r="G8" s="160"/>
    </row>
    <row r="9">
      <c r="A9" s="231"/>
      <c r="B9" s="176" t="str">
        <f>'Себестоимость'!P1</f>
        <v>Услуга 7</v>
      </c>
      <c r="C9" s="176">
        <f>SUM('Чистая прибыль'!C9+'Чистая прибыль'!C43+'Чистая прибыль'!C77+'Чистая прибыль'!C111+'Чистая прибыль'!K9+'Чистая прибыль'!K43+'Чистая прибыль'!K77+'Чистая прибыль'!K111+'Чистая прибыль'!S9+'Чистая прибыль'!S43+'Чистая прибыль'!S77+'Чистая прибыль'!S111)</f>
        <v>0</v>
      </c>
      <c r="D9" s="159">
        <f>SUM('Чистая прибыль'!D9+'Чистая прибыль'!D43+'Чистая прибыль'!D77+'Чистая прибыль'!D111+'Чистая прибыль'!L9+'Чистая прибыль'!L43+'Чистая прибыль'!L77+'Чистая прибыль'!K111+'Чистая прибыль'!T9+'Чистая прибыль'!T43+'Чистая прибыль'!T77+'Чистая прибыль'!T111)</f>
        <v>0</v>
      </c>
      <c r="E9" s="159" t="e">
        <f>'Себестоимость'!P60</f>
        <v>#DIV/0!</v>
      </c>
      <c r="F9" s="159" t="e">
        <f>D9*E9</f>
        <v>#DIV/0!</v>
      </c>
      <c r="G9" s="160"/>
      <c r="H9"/>
    </row>
    <row r="10">
      <c r="A10" s="231"/>
      <c r="B10" s="176" t="str">
        <f>'Себестоимость'!R1</f>
        <v>Услуга 8</v>
      </c>
      <c r="C10" s="176">
        <f>SUM('Чистая прибыль'!C10+'Чистая прибыль'!C44+'Чистая прибыль'!C78+'Чистая прибыль'!C112+'Чистая прибыль'!K10+'Чистая прибыль'!K44+'Чистая прибыль'!K78+'Чистая прибыль'!K112+'Чистая прибыль'!S10+'Чистая прибыль'!S44+'Чистая прибыль'!S78+'Чистая прибыль'!S1120)</f>
        <v>0</v>
      </c>
      <c r="D10" s="159">
        <f>SUM('Чистая прибыль'!D10+'Чистая прибыль'!D44+'Чистая прибыль'!D78+'Чистая прибыль'!D112+'Чистая прибыль'!L10+'Чистая прибыль'!L44+'Чистая прибыль'!L78+'Чистая прибыль'!K112+'Чистая прибыль'!T10+'Чистая прибыль'!T44+'Чистая прибыль'!T78+'Чистая прибыль'!T112)</f>
        <v>0</v>
      </c>
      <c r="E10" s="159" t="e">
        <f>'Себестоимость'!R60</f>
        <v>#DIV/0!</v>
      </c>
      <c r="F10" s="159" t="e">
        <f>D10*E10</f>
        <v>#DIV/0!</v>
      </c>
      <c r="G10" s="160"/>
    </row>
    <row r="11">
      <c r="A11" s="231"/>
      <c r="B11" s="176" t="str">
        <f>'Себестоимость'!T1</f>
        <v>Услуга 9</v>
      </c>
      <c r="C11" s="176">
        <f>SUM('Чистая прибыль'!C11+'Чистая прибыль'!C45+'Чистая прибыль'!C79+'Чистая прибыль'!C113+'Чистая прибыль'!K11+'Чистая прибыль'!K45+'Чистая прибыль'!K79+'Чистая прибыль'!K113+'Чистая прибыль'!S11+'Чистая прибыль'!S45+'Чистая прибыль'!S79+'Чистая прибыль'!S113)</f>
        <v>0</v>
      </c>
      <c r="D11" s="159">
        <f>SUM('Чистая прибыль'!D11+'Чистая прибыль'!D45+'Чистая прибыль'!D79+'Чистая прибыль'!D113+'Чистая прибыль'!L11+'Чистая прибыль'!L45+'Чистая прибыль'!L79+'Чистая прибыль'!K113+'Чистая прибыль'!T11+'Чистая прибыль'!T45+'Чистая прибыль'!T79+'Чистая прибыль'!T113)</f>
        <v>0</v>
      </c>
      <c r="E11" s="159" t="e">
        <f>'Себестоимость'!T60</f>
        <v>#DIV/0!</v>
      </c>
      <c r="F11" s="159" t="e">
        <f>D11*E11</f>
        <v>#DIV/0!</v>
      </c>
      <c r="G11" s="160"/>
    </row>
    <row r="12">
      <c r="A12" s="231"/>
      <c r="B12" s="177" t="str">
        <f>'Себестоимость'!V1</f>
        <v>Услуга 10</v>
      </c>
      <c r="C12" s="177">
        <f>SUM('Чистая прибыль'!C12+'Чистая прибыль'!C46+'Чистая прибыль'!C80+'Чистая прибыль'!C114+'Чистая прибыль'!K12+'Чистая прибыль'!K46+'Чистая прибыль'!K80+'Чистая прибыль'!K114+'Чистая прибыль'!S12+'Чистая прибыль'!S46+'Чистая прибыль'!S80+'Чистая прибыль'!S114)</f>
        <v>0</v>
      </c>
      <c r="D12" s="161">
        <f>SUM('Чистая прибыль'!D12+'Чистая прибыль'!D46+'Чистая прибыль'!D80+'Чистая прибыль'!D114+'Чистая прибыль'!L12+'Чистая прибыль'!L46+'Чистая прибыль'!L80+'Чистая прибыль'!K114+'Чистая прибыль'!T12+'Чистая прибыль'!T46+'Чистая прибыль'!T80+'Чистая прибыль'!T114)</f>
        <v>0</v>
      </c>
      <c r="E12" s="161" t="e">
        <f>'Себестоимость'!V60</f>
        <v>#DIV/0!</v>
      </c>
      <c r="F12" s="159" t="e">
        <f>D12*E12</f>
        <v>#DIV/0!</v>
      </c>
      <c r="G12" s="160"/>
    </row>
    <row r="13">
      <c r="A13" s="231"/>
      <c r="B13" s="232" t="s">
        <v>111</v>
      </c>
      <c r="C13" s="232"/>
      <c r="D13" s="232"/>
      <c r="E13" s="232"/>
      <c r="F13" s="233"/>
      <c r="G13" s="162">
        <f>SUM('Чистая прибыль'!G13+'Чистая прибыль'!G47+'Чистая прибыль'!G81+'Чистая прибыль'!G115+'Чистая прибыль'!O13+'Чистая прибыль'!O47+'Чистая прибыль'!O81+'Чистая прибыль'!O115+'Чистая прибыль'!W13+'Чистая прибыль'!W47+'Чистая прибыль'!W81+'Чистая прибыль'!W115)</f>
        <v>0</v>
      </c>
    </row>
    <row r="14">
      <c r="A14" s="231"/>
      <c r="B14" s="234" t="s">
        <v>96</v>
      </c>
      <c r="C14" s="234"/>
      <c r="D14" s="234"/>
      <c r="E14" s="234"/>
      <c r="F14" s="161"/>
      <c r="G14" s="164"/>
    </row>
    <row r="15">
      <c r="A15" s="235"/>
      <c r="B15" s="236" t="s">
        <v>98</v>
      </c>
      <c r="C15" s="236"/>
      <c r="D15" s="236"/>
      <c r="E15" s="236"/>
      <c r="F15" s="236"/>
      <c r="G15" s="160" t="e">
        <f>SUM(G3:G13)</f>
        <v>#DIV/0!</v>
      </c>
    </row>
    <row r="16">
      <c r="A16" s="237" t="s">
        <v>99</v>
      </c>
      <c r="B16" s="238" t="s">
        <v>86</v>
      </c>
      <c r="C16" s="238"/>
      <c r="D16" s="238"/>
      <c r="E16" s="238"/>
      <c r="F16" s="276"/>
      <c r="G16" s="160">
        <f>SUM('Чистая прибыль'!G27+'Чистая прибыль'!G61+'Чистая прибыль'!G95+'Чистая прибыль'!G129+'Чистая прибыль'!O27+'Чистая прибыль'!O61+'Чистая прибыль'!O95+'Чистая прибыль'!O129+'Чистая прибыль'!W27+'Чистая прибыль'!W61+'Чистая прибыль'!W95+'Чистая прибыль'!W129)</f>
        <v>0</v>
      </c>
    </row>
    <row r="17">
      <c r="A17" s="240"/>
      <c r="B17" s="232" t="s">
        <v>101</v>
      </c>
      <c r="C17" s="232"/>
      <c r="D17" s="232"/>
      <c r="E17" s="232"/>
      <c r="F17" s="277"/>
      <c r="G17" s="160"/>
    </row>
    <row r="18">
      <c r="A18" s="241"/>
      <c r="B18" s="242" t="s">
        <v>101</v>
      </c>
      <c r="C18" s="242"/>
      <c r="D18" s="242"/>
      <c r="E18" s="242"/>
      <c r="F18" s="278"/>
      <c r="G18" s="160"/>
    </row>
    <row r="19">
      <c r="A19" s="244" t="s">
        <v>102</v>
      </c>
      <c r="B19" s="178" t="s">
        <v>103</v>
      </c>
      <c r="C19" s="178"/>
      <c r="D19" s="178"/>
      <c r="E19" s="178"/>
      <c r="F19" s="178"/>
      <c r="G19" s="173" t="e">
        <f>G16-G15</f>
        <v>#DIV/0!</v>
      </c>
    </row>
    <row r="20">
      <c r="A20" s="244" t="s">
        <v>112</v>
      </c>
      <c r="B20" s="178" t="s">
        <v>105</v>
      </c>
      <c r="C20" s="178"/>
      <c r="D20" s="178"/>
      <c r="E20" s="178"/>
      <c r="F20" s="178"/>
      <c r="G20" s="220" t="e">
        <f>G19/G16*100</f>
        <v>#DIV/0!</v>
      </c>
    </row>
    <row r="21">
      <c r="A21" s="244" t="s">
        <v>106</v>
      </c>
      <c r="B21" s="178" t="s">
        <v>107</v>
      </c>
      <c r="C21" s="178"/>
      <c r="D21" s="178"/>
      <c r="E21" s="178"/>
      <c r="F21" s="178"/>
      <c r="G21" s="173" t="e">
        <f>G16/SUM(D3:D12)</f>
        <v>#DIV/0!</v>
      </c>
    </row>
    <row r="22">
      <c r="A22" s="244" t="s">
        <v>113</v>
      </c>
      <c r="B22" s="178" t="s">
        <v>118</v>
      </c>
      <c r="C22" s="178"/>
      <c r="D22" s="178"/>
      <c r="E22" s="178"/>
      <c r="F22" s="178"/>
      <c r="G22" s="226" t="e">
        <f>G19/SUM(C3:C12)</f>
        <v>#DIV/0!</v>
      </c>
    </row>
    <row r="23">
      <c r="A23" s="245" t="s">
        <v>160</v>
      </c>
      <c r="B23" s="246" t="s">
        <v>161</v>
      </c>
      <c r="C23" s="246"/>
      <c r="D23" s="246"/>
      <c r="E23" s="246"/>
      <c r="F23" s="246"/>
      <c r="G23" s="174" t="e">
        <f>G19/12</f>
        <v>#DIV/0!</v>
      </c>
    </row>
  </sheetData>
  <mergeCells count="17">
    <mergeCell ref="A1:A15"/>
    <mergeCell ref="B1:G1"/>
    <mergeCell ref="G3:G12"/>
    <mergeCell ref="B13:E13"/>
    <mergeCell ref="G13:G14"/>
    <mergeCell ref="B14:E14"/>
    <mergeCell ref="B15:F15"/>
    <mergeCell ref="A16:A18"/>
    <mergeCell ref="B16:E16"/>
    <mergeCell ref="G16:G18"/>
    <mergeCell ref="B17:E17"/>
    <mergeCell ref="B18:E18"/>
    <mergeCell ref="B19:F19"/>
    <mergeCell ref="B20:F20"/>
    <mergeCell ref="B21:F21"/>
    <mergeCell ref="B22:F22"/>
    <mergeCell ref="B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Чадная</dc:creator>
  <cp:lastModifiedBy>Анна Чадная</cp:lastModifiedBy>
  <dcterms:created xsi:type="dcterms:W3CDTF">2025-03-07T12:53:20Z</dcterms:created>
  <dcterms:modified xsi:type="dcterms:W3CDTF">2025-03-09T15:52:02Z</dcterms:modified>
</cp:coreProperties>
</file>